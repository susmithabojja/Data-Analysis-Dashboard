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1f414cdbe86b5827/Documents/"/>
    </mc:Choice>
  </mc:AlternateContent>
  <xr:revisionPtr revIDLastSave="1243" documentId="8_{91128728-06F2-4136-8573-D785A551155E}" xr6:coauthVersionLast="47" xr6:coauthVersionMax="47" xr10:uidLastSave="{DC98ACE2-E17F-461A-B015-D2108FB9E570}"/>
  <bookViews>
    <workbookView minimized="1" xWindow="1080" yWindow="24" windowWidth="11172" windowHeight="12216" firstSheet="2" activeTab="5" xr2:uid="{3257C1D0-2F50-4829-AF03-58DE83F20626}"/>
  </bookViews>
  <sheets>
    <sheet name="Payment Method" sheetId="7" r:id="rId1"/>
    <sheet name="product revenu" sheetId="3" r:id="rId2"/>
    <sheet name="Revenue by Region" sheetId="5" r:id="rId3"/>
    <sheet name="Monthly revenue" sheetId="6" r:id="rId4"/>
    <sheet name="Quantity by category" sheetId="8" r:id="rId5"/>
    <sheet name="Sales sheet" sheetId="1" r:id="rId6"/>
    <sheet name="Summarized Sales Report" sheetId="2" r:id="rId7"/>
  </sheets>
  <definedNames>
    <definedName name="Slicer_payment_method">#N/A</definedName>
    <definedName name="Slicer_product_category">#N/A</definedName>
    <definedName name="Slicer_Quarters__order_date">#N/A</definedName>
    <definedName name="Slicer_region">#N/A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70" i="1" l="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<sst xmlns="http://schemas.openxmlformats.org/spreadsheetml/2006/main" count="2058" uniqueCount="44">
  <si>
    <t>order_id</t>
  </si>
  <si>
    <t>order_date</t>
  </si>
  <si>
    <t>product_category</t>
  </si>
  <si>
    <t>region</t>
  </si>
  <si>
    <t>quantity</t>
  </si>
  <si>
    <t>unit_price</t>
  </si>
  <si>
    <t>discount</t>
  </si>
  <si>
    <t>payment_method</t>
  </si>
  <si>
    <t>customer_rating</t>
  </si>
  <si>
    <t>revenue</t>
  </si>
  <si>
    <t>Beauty</t>
  </si>
  <si>
    <t>South</t>
  </si>
  <si>
    <t>Wallet</t>
  </si>
  <si>
    <t>Clothing</t>
  </si>
  <si>
    <t>Card</t>
  </si>
  <si>
    <t>East</t>
  </si>
  <si>
    <t>COD</t>
  </si>
  <si>
    <t>Electronics</t>
  </si>
  <si>
    <t>West</t>
  </si>
  <si>
    <t>North</t>
  </si>
  <si>
    <t>Home</t>
  </si>
  <si>
    <t>Row Labels</t>
  </si>
  <si>
    <t>Count of order_id</t>
  </si>
  <si>
    <t>Sum of revenue</t>
  </si>
  <si>
    <t>months</t>
  </si>
  <si>
    <t>January</t>
  </si>
  <si>
    <t>February</t>
  </si>
  <si>
    <t>March</t>
  </si>
  <si>
    <t>April</t>
  </si>
  <si>
    <t>May</t>
  </si>
  <si>
    <t>June</t>
  </si>
  <si>
    <t>July</t>
  </si>
  <si>
    <t>August</t>
  </si>
  <si>
    <t>September</t>
  </si>
  <si>
    <t>October</t>
  </si>
  <si>
    <t>November</t>
  </si>
  <si>
    <t>December</t>
  </si>
  <si>
    <t>Qtr1</t>
  </si>
  <si>
    <t>Qtr2</t>
  </si>
  <si>
    <t>Qtr3</t>
  </si>
  <si>
    <t>Qtr4</t>
  </si>
  <si>
    <t>Years (order_date)</t>
  </si>
  <si>
    <t>(All)</t>
  </si>
  <si>
    <t>Summarized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</si>
</sst>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11"/>
      <color theme="1"/>
      <name val="Calibri"/>
      <family val="2"/>
      <scheme val="minor"/>
    </font>
    <font>
      <sz val="24"/>
      <color theme="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4" tint="-0.249977111117893"/>
      </left>
      <right/>
      <top/>
      <bottom/>
      <diagonal/>
    </border>
    <border>
      <left style="thin">
        <color theme="4"/>
      </left>
      <right/>
      <top style="thin">
        <color theme="4"/>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9" fontId="0" fillId="0" borderId="0" xfId="1" applyFont="1"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4" fontId="0" fillId="0" borderId="0" xfId="0" applyNumberFormat="1"/>
    <xf numFmtId="3" fontId="0" fillId="0" borderId="0" xfId="0" applyNumberFormat="1"/>
    <xf numFmtId="0" fontId="0" fillId="0" borderId="12" xfId="0" applyBorder="1"/>
    <xf numFmtId="0" fontId="2" fillId="2" borderId="1" xfId="0" applyFont="1" applyFill="1" applyBorder="1"/>
    <xf numFmtId="0" fontId="2" fillId="2" borderId="2" xfId="0" applyFont="1" applyFill="1" applyBorder="1"/>
    <xf numFmtId="0" fontId="2" fillId="2" borderId="2" xfId="0" applyFont="1" applyFill="1" applyBorder="1" applyAlignment="1">
      <alignment horizontal="center" vertical="center"/>
    </xf>
    <xf numFmtId="0" fontId="2" fillId="2"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0" xfId="0" applyFill="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164" fontId="0" fillId="0" borderId="0" xfId="0" applyNumberFormat="1" applyAlignment="1">
      <alignment horizontal="center" vertical="center"/>
    </xf>
    <xf numFmtId="164" fontId="0" fillId="0" borderId="0" xfId="0" applyNumberFormat="1"/>
    <xf numFmtId="0" fontId="0" fillId="0" borderId="13" xfId="0" applyFont="1" applyBorder="1" applyAlignment="1">
      <alignment horizontal="center" vertical="center"/>
    </xf>
  </cellXfs>
  <cellStyles count="2">
    <cellStyle name="Normal" xfId="0" builtinId="0"/>
    <cellStyle name="Percent" xfId="1" builtinId="5"/>
  </cellStyles>
  <dxfs count="13">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[FirstProject.xlsx]Payment Method!PivotTable4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Payment</a:t>
            </a:r>
            <a:r>
              <a:rPr lang="en-US" b="1" baseline="0"/>
              <a:t> Method</a:t>
            </a:r>
            <a:endParaRPr lang="en-US" b="1"/>
          </a:p>
        </c:rich>
      </c:tx>
      <c:layout>
        <c:manualLayout>
          <c:xMode val="edge"/>
          <c:yMode val="edge"/>
          <c:x val="3.2122261760549164E-2"/>
          <c:y val="4.69217741363410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3-4B62-9216-FE5F4E8C793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EF3-4B62-9216-FE5F4E8C793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EF3-4B62-9216-FE5F4E8C79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Method'!$A$4:$A$6</c:f>
              <c:strCache>
                <c:ptCount val="3"/>
                <c:pt idx="0">
                  <c:v>Card</c:v>
                </c:pt>
                <c:pt idx="1">
                  <c:v>COD</c:v>
                </c:pt>
                <c:pt idx="2">
                  <c:v>Wallet</c:v>
                </c:pt>
              </c:strCache>
            </c:strRef>
          </c:cat>
          <c:val>
            <c:numRef>
              <c:f>'Payment Method'!$B$4:$B$6</c:f>
              <c:numCache>
                <c:formatCode>0</c:formatCode>
                <c:ptCount val="3"/>
                <c:pt idx="0">
                  <c:v>300</c:v>
                </c:pt>
                <c:pt idx="1">
                  <c:v>234</c:v>
                </c:pt>
                <c:pt idx="2">
                  <c:v>135</c:v>
                </c:pt>
              </c:numCache>
            </c:numRef>
          </c:val>
          <c:extLst>
            <c:ext xmlns:c16="http://schemas.microsoft.com/office/drawing/2014/chart" uri="{C3380CC4-5D6E-409C-BE32-E72D297353CC}">
              <c16:uniqueId val="{00000006-F14F-4F3F-A762-7390ABCE04C5}"/>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900630955613309"/>
          <c:y val="0.35796768610445434"/>
          <c:w val="0.16349217123721604"/>
          <c:h val="0.30570866141732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[FirstProject.xlsx]product revenu!PivotTable1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Products</a:t>
            </a:r>
            <a:endParaRPr lang="en-US" b="1"/>
          </a:p>
        </c:rich>
      </c:tx>
      <c:layout>
        <c:manualLayout>
          <c:xMode val="edge"/>
          <c:yMode val="edge"/>
          <c:x val="0.24054155730533683"/>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revenu'!$B$3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revenu'!$A$4:$A$7</c:f>
              <c:strCache>
                <c:ptCount val="4"/>
                <c:pt idx="0">
                  <c:v>Beauty</c:v>
                </c:pt>
                <c:pt idx="1">
                  <c:v>Clothing</c:v>
                </c:pt>
                <c:pt idx="2">
                  <c:v>Electronics</c:v>
                </c:pt>
                <c:pt idx="3">
                  <c:v>Home</c:v>
                </c:pt>
              </c:strCache>
            </c:strRef>
          </c:cat>
          <c:val>
            <c:numRef>
              <c:f>'product revenu'!$B$4:$B$7</c:f>
              <c:numCache>
                <c:formatCode>#,##0.00</c:formatCode>
                <c:ptCount val="4"/>
                <c:pt idx="0">
                  <c:v>101303.86000000004</c:v>
                </c:pt>
                <c:pt idx="1">
                  <c:v>183080.09</c:v>
                </c:pt>
                <c:pt idx="2">
                  <c:v>242845.38999999996</c:v>
                </c:pt>
                <c:pt idx="3">
                  <c:v>153518.56999999998</c:v>
                </c:pt>
              </c:numCache>
            </c:numRef>
          </c:val>
          <c:extLst>
            <c:ext xmlns:c16="http://schemas.microsoft.com/office/drawing/2014/chart" uri="{C3380CC4-5D6E-409C-BE32-E72D297353CC}">
              <c16:uniqueId val="{00000000-BA28-46C1-857C-10D1BD03AA35}"/>
            </c:ext>
          </c:extLst>
        </c:ser>
        <c:dLbls>
          <c:dLblPos val="outEnd"/>
          <c:showLegendKey val="0"/>
          <c:showVal val="1"/>
          <c:showCatName val="0"/>
          <c:showSerName val="0"/>
          <c:showPercent val="0"/>
          <c:showBubbleSize val="0"/>
        </c:dLbls>
        <c:gapWidth val="219"/>
        <c:overlap val="-27"/>
        <c:axId val="542972607"/>
        <c:axId val="15469455"/>
      </c:barChart>
      <c:catAx>
        <c:axId val="542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9455"/>
        <c:crosses val="autoZero"/>
        <c:auto val="1"/>
        <c:lblAlgn val="ctr"/>
        <c:lblOffset val="100"/>
        <c:noMultiLvlLbl val="0"/>
      </c:catAx>
      <c:valAx>
        <c:axId val="154694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[FirstProject.xlsx]Revenue by Region!PivotTable2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Region'!$B$3</c:f>
              <c:strCache>
                <c:ptCount val="1"/>
                <c:pt idx="0">
                  <c:v>Total</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Region'!$A$4:$A$7</c:f>
              <c:strCache>
                <c:ptCount val="4"/>
                <c:pt idx="0">
                  <c:v>East</c:v>
                </c:pt>
                <c:pt idx="1">
                  <c:v>North</c:v>
                </c:pt>
                <c:pt idx="2">
                  <c:v>South</c:v>
                </c:pt>
                <c:pt idx="3">
                  <c:v>West</c:v>
                </c:pt>
              </c:strCache>
            </c:strRef>
          </c:cat>
          <c:val>
            <c:numRef>
              <c:f>'Revenue by Region'!$B$4:$B$7</c:f>
              <c:numCache>
                <c:formatCode>#,##0.00</c:formatCode>
                <c:ptCount val="4"/>
                <c:pt idx="0">
                  <c:v>167880.66000000012</c:v>
                </c:pt>
                <c:pt idx="1">
                  <c:v>193308.66000000006</c:v>
                </c:pt>
                <c:pt idx="2">
                  <c:v>155808.36000000004</c:v>
                </c:pt>
                <c:pt idx="3">
                  <c:v>163750.22999999992</c:v>
                </c:pt>
              </c:numCache>
            </c:numRef>
          </c:val>
          <c:extLst>
            <c:ext xmlns:c16="http://schemas.microsoft.com/office/drawing/2014/chart" uri="{C3380CC4-5D6E-409C-BE32-E72D297353CC}">
              <c16:uniqueId val="{00000000-BF59-4A80-8621-F29AD581E6E2}"/>
            </c:ext>
          </c:extLst>
        </c:ser>
        <c:dLbls>
          <c:showLegendKey val="0"/>
          <c:showVal val="1"/>
          <c:showCatName val="0"/>
          <c:showSerName val="0"/>
          <c:showPercent val="0"/>
          <c:showBubbleSize val="0"/>
        </c:dLbls>
        <c:gapWidth val="150"/>
        <c:shape val="box"/>
        <c:axId val="905364287"/>
        <c:axId val="730107663"/>
        <c:axId val="0"/>
      </c:bar3DChart>
      <c:catAx>
        <c:axId val="90536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07663"/>
        <c:crosses val="autoZero"/>
        <c:auto val="1"/>
        <c:lblAlgn val="ctr"/>
        <c:lblOffset val="100"/>
        <c:noMultiLvlLbl val="0"/>
      </c:catAx>
      <c:valAx>
        <c:axId val="730107663"/>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6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[FirstProject.xlsx]Monthly revenue!PivotTable3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949256342957"/>
          <c:y val="0.17634259259259263"/>
          <c:w val="0.85862729658792647"/>
          <c:h val="0.60359361329833772"/>
        </c:manualLayout>
      </c:layout>
      <c:lineChart>
        <c:grouping val="stacke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revenue'!$B$4:$B$15</c:f>
              <c:numCache>
                <c:formatCode>#,##0</c:formatCode>
                <c:ptCount val="12"/>
                <c:pt idx="0">
                  <c:v>73420.710000000006</c:v>
                </c:pt>
                <c:pt idx="1">
                  <c:v>60889.25</c:v>
                </c:pt>
                <c:pt idx="2">
                  <c:v>56652.020000000004</c:v>
                </c:pt>
                <c:pt idx="3">
                  <c:v>56884.069999999971</c:v>
                </c:pt>
                <c:pt idx="4">
                  <c:v>74111.7</c:v>
                </c:pt>
                <c:pt idx="5">
                  <c:v>64929.98000000001</c:v>
                </c:pt>
                <c:pt idx="6">
                  <c:v>56474.87999999999</c:v>
                </c:pt>
                <c:pt idx="7">
                  <c:v>59258.98</c:v>
                </c:pt>
                <c:pt idx="8">
                  <c:v>61767.39</c:v>
                </c:pt>
                <c:pt idx="9">
                  <c:v>58565.530000000021</c:v>
                </c:pt>
                <c:pt idx="10">
                  <c:v>32329.489999999998</c:v>
                </c:pt>
                <c:pt idx="11">
                  <c:v>25463.910000000007</c:v>
                </c:pt>
              </c:numCache>
            </c:numRef>
          </c:val>
          <c:smooth val="0"/>
          <c:extLst>
            <c:ext xmlns:c16="http://schemas.microsoft.com/office/drawing/2014/chart" uri="{C3380CC4-5D6E-409C-BE32-E72D297353CC}">
              <c16:uniqueId val="{00000000-C51C-470F-95D8-956581DA1205}"/>
            </c:ext>
          </c:extLst>
        </c:ser>
        <c:dLbls>
          <c:showLegendKey val="0"/>
          <c:showVal val="0"/>
          <c:showCatName val="0"/>
          <c:showSerName val="0"/>
          <c:showPercent val="0"/>
          <c:showBubbleSize val="0"/>
        </c:dLbls>
        <c:smooth val="0"/>
        <c:axId val="779439119"/>
        <c:axId val="636342095"/>
      </c:lineChart>
      <c:catAx>
        <c:axId val="7794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42095"/>
        <c:crosses val="autoZero"/>
        <c:auto val="1"/>
        <c:lblAlgn val="ctr"/>
        <c:lblOffset val="100"/>
        <c:noMultiLvlLbl val="0"/>
      </c:catAx>
      <c:valAx>
        <c:axId val="63634209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391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[FirstProject.xlsx]Quantity by category!PivotTable5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Quarterly</a:t>
            </a:r>
            <a:r>
              <a:rPr lang="en-US" b="1" baseline="0"/>
              <a:t> Reports</a:t>
            </a:r>
            <a:endParaRPr lang="en-US" b="1"/>
          </a:p>
        </c:rich>
      </c:tx>
      <c:layout>
        <c:manualLayout>
          <c:xMode val="edge"/>
          <c:yMode val="edge"/>
          <c:x val="0.22995759787003253"/>
          <c:y val="2.36112185358252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'Quantity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C0-47A6-9200-9DDA1A9CCCD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3C0-47A6-9200-9DDA1A9CCCD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3C0-47A6-9200-9DDA1A9CCCD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3C0-47A6-9200-9DDA1A9CCC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by category'!$A$4:$A$7</c:f>
              <c:strCache>
                <c:ptCount val="4"/>
                <c:pt idx="0">
                  <c:v>Qtr1</c:v>
                </c:pt>
                <c:pt idx="1">
                  <c:v>Qtr2</c:v>
                </c:pt>
                <c:pt idx="2">
                  <c:v>Qtr3</c:v>
                </c:pt>
                <c:pt idx="3">
                  <c:v>Qtr4</c:v>
                </c:pt>
              </c:strCache>
            </c:strRef>
          </c:cat>
          <c:val>
            <c:numRef>
              <c:f>'Quantity by category'!$B$4:$B$7</c:f>
              <c:numCache>
                <c:formatCode>#,##0.00</c:formatCode>
                <c:ptCount val="4"/>
                <c:pt idx="0">
                  <c:v>190961.97999999995</c:v>
                </c:pt>
                <c:pt idx="1">
                  <c:v>195925.74999999997</c:v>
                </c:pt>
                <c:pt idx="2">
                  <c:v>177501.25000000015</c:v>
                </c:pt>
                <c:pt idx="3">
                  <c:v>116358.93000000002</c:v>
                </c:pt>
              </c:numCache>
            </c:numRef>
          </c:val>
          <c:extLst>
            <c:ext xmlns:c16="http://schemas.microsoft.com/office/drawing/2014/chart" uri="{C3380CC4-5D6E-409C-BE32-E72D297353CC}">
              <c16:uniqueId val="{00000008-BFB7-4158-8DBE-032A788911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369502558724837"/>
          <c:y val="0.26039247645512281"/>
          <c:w val="0.16219336035731313"/>
          <c:h val="0.55937736006856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[FirstProject.xlsx]product revenu!PivotTable1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3186522373631"/>
          <c:y val="0.17514729701511911"/>
          <c:w val="0.82212384734040145"/>
          <c:h val="0.71530532149976334"/>
        </c:manualLayout>
      </c:layout>
      <c:barChart>
        <c:barDir val="col"/>
        <c:grouping val="clustered"/>
        <c:varyColors val="0"/>
        <c:ser>
          <c:idx val="0"/>
          <c:order val="0"/>
          <c:tx>
            <c:strRef>
              <c:f>'product revenu'!$B$3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revenu'!$A$4:$A$7</c:f>
              <c:strCache>
                <c:ptCount val="4"/>
                <c:pt idx="0">
                  <c:v>Beauty</c:v>
                </c:pt>
                <c:pt idx="1">
                  <c:v>Clothing</c:v>
                </c:pt>
                <c:pt idx="2">
                  <c:v>Electronics</c:v>
                </c:pt>
                <c:pt idx="3">
                  <c:v>Home</c:v>
                </c:pt>
              </c:strCache>
            </c:strRef>
          </c:cat>
          <c:val>
            <c:numRef>
              <c:f>'product revenu'!$B$4:$B$7</c:f>
              <c:numCache>
                <c:formatCode>#,##0.00</c:formatCode>
                <c:ptCount val="4"/>
                <c:pt idx="0">
                  <c:v>101303.86000000004</c:v>
                </c:pt>
                <c:pt idx="1">
                  <c:v>183080.09</c:v>
                </c:pt>
                <c:pt idx="2">
                  <c:v>242845.38999999996</c:v>
                </c:pt>
                <c:pt idx="3">
                  <c:v>153518.56999999998</c:v>
                </c:pt>
              </c:numCache>
            </c:numRef>
          </c:val>
          <c:extLst>
            <c:ext xmlns:c16="http://schemas.microsoft.com/office/drawing/2014/chart" uri="{C3380CC4-5D6E-409C-BE32-E72D297353CC}">
              <c16:uniqueId val="{00000000-3117-49A0-A5C6-B21462EA83B2}"/>
            </c:ext>
          </c:extLst>
        </c:ser>
        <c:dLbls>
          <c:dLblPos val="outEnd"/>
          <c:showLegendKey val="0"/>
          <c:showVal val="1"/>
          <c:showCatName val="0"/>
          <c:showSerName val="0"/>
          <c:showPercent val="0"/>
          <c:showBubbleSize val="0"/>
        </c:dLbls>
        <c:gapWidth val="219"/>
        <c:overlap val="-27"/>
        <c:axId val="542972607"/>
        <c:axId val="15469455"/>
      </c:barChart>
      <c:catAx>
        <c:axId val="542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9455"/>
        <c:crosses val="autoZero"/>
        <c:auto val="1"/>
        <c:lblAlgn val="ctr"/>
        <c:lblOffset val="100"/>
        <c:noMultiLvlLbl val="0"/>
      </c:catAx>
      <c:valAx>
        <c:axId val="154694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[FirstProject.xlsx]Revenue by Region!PivotTable2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09879618863989"/>
          <c:y val="0.16098060132869244"/>
          <c:w val="0.80726279191203498"/>
          <c:h val="0.71530532149976334"/>
        </c:manualLayout>
      </c:layout>
      <c:bar3DChart>
        <c:barDir val="bar"/>
        <c:grouping val="clustered"/>
        <c:varyColors val="0"/>
        <c:ser>
          <c:idx val="0"/>
          <c:order val="0"/>
          <c:tx>
            <c:strRef>
              <c:f>'Revenue by Region'!$B$3</c:f>
              <c:strCache>
                <c:ptCount val="1"/>
                <c:pt idx="0">
                  <c:v>Total</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Region'!$A$4:$A$7</c:f>
              <c:strCache>
                <c:ptCount val="4"/>
                <c:pt idx="0">
                  <c:v>East</c:v>
                </c:pt>
                <c:pt idx="1">
                  <c:v>North</c:v>
                </c:pt>
                <c:pt idx="2">
                  <c:v>South</c:v>
                </c:pt>
                <c:pt idx="3">
                  <c:v>West</c:v>
                </c:pt>
              </c:strCache>
            </c:strRef>
          </c:cat>
          <c:val>
            <c:numRef>
              <c:f>'Revenue by Region'!$B$4:$B$7</c:f>
              <c:numCache>
                <c:formatCode>#,##0.00</c:formatCode>
                <c:ptCount val="4"/>
                <c:pt idx="0">
                  <c:v>167880.66000000012</c:v>
                </c:pt>
                <c:pt idx="1">
                  <c:v>193308.66000000006</c:v>
                </c:pt>
                <c:pt idx="2">
                  <c:v>155808.36000000004</c:v>
                </c:pt>
                <c:pt idx="3">
                  <c:v>163750.22999999992</c:v>
                </c:pt>
              </c:numCache>
            </c:numRef>
          </c:val>
          <c:extLst>
            <c:ext xmlns:c16="http://schemas.microsoft.com/office/drawing/2014/chart" uri="{C3380CC4-5D6E-409C-BE32-E72D297353CC}">
              <c16:uniqueId val="{00000000-49CA-40E9-A9A8-CE0108822CBB}"/>
            </c:ext>
          </c:extLst>
        </c:ser>
        <c:dLbls>
          <c:showLegendKey val="0"/>
          <c:showVal val="1"/>
          <c:showCatName val="0"/>
          <c:showSerName val="0"/>
          <c:showPercent val="0"/>
          <c:showBubbleSize val="0"/>
        </c:dLbls>
        <c:gapWidth val="150"/>
        <c:shape val="box"/>
        <c:axId val="905364287"/>
        <c:axId val="730107663"/>
        <c:axId val="0"/>
      </c:bar3DChart>
      <c:catAx>
        <c:axId val="90536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07663"/>
        <c:crosses val="autoZero"/>
        <c:auto val="1"/>
        <c:lblAlgn val="ctr"/>
        <c:lblOffset val="100"/>
        <c:noMultiLvlLbl val="0"/>
      </c:catAx>
      <c:valAx>
        <c:axId val="730107663"/>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6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[FirstProject.xlsx]Monthly revenue!PivotTable3</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a:t>
            </a:r>
          </a:p>
        </c:rich>
      </c:tx>
      <c:layout>
        <c:manualLayout>
          <c:xMode val="edge"/>
          <c:yMode val="edge"/>
          <c:x val="0.34734112818956903"/>
          <c:y val="5.00253707768041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9193203401119"/>
          <c:y val="0.18106492462475984"/>
          <c:w val="0.85862729658792647"/>
          <c:h val="0.60359361329833772"/>
        </c:manualLayout>
      </c:layout>
      <c:lineChart>
        <c:grouping val="stacke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revenue'!$B$4:$B$15</c:f>
              <c:numCache>
                <c:formatCode>#,##0</c:formatCode>
                <c:ptCount val="12"/>
                <c:pt idx="0">
                  <c:v>73420.710000000006</c:v>
                </c:pt>
                <c:pt idx="1">
                  <c:v>60889.25</c:v>
                </c:pt>
                <c:pt idx="2">
                  <c:v>56652.020000000004</c:v>
                </c:pt>
                <c:pt idx="3">
                  <c:v>56884.069999999971</c:v>
                </c:pt>
                <c:pt idx="4">
                  <c:v>74111.7</c:v>
                </c:pt>
                <c:pt idx="5">
                  <c:v>64929.98000000001</c:v>
                </c:pt>
                <c:pt idx="6">
                  <c:v>56474.87999999999</c:v>
                </c:pt>
                <c:pt idx="7">
                  <c:v>59258.98</c:v>
                </c:pt>
                <c:pt idx="8">
                  <c:v>61767.39</c:v>
                </c:pt>
                <c:pt idx="9">
                  <c:v>58565.530000000021</c:v>
                </c:pt>
                <c:pt idx="10">
                  <c:v>32329.489999999998</c:v>
                </c:pt>
                <c:pt idx="11">
                  <c:v>25463.910000000007</c:v>
                </c:pt>
              </c:numCache>
            </c:numRef>
          </c:val>
          <c:smooth val="0"/>
          <c:extLst>
            <c:ext xmlns:c16="http://schemas.microsoft.com/office/drawing/2014/chart" uri="{C3380CC4-5D6E-409C-BE32-E72D297353CC}">
              <c16:uniqueId val="{00000000-18F9-4C70-9396-FDFF540312C8}"/>
            </c:ext>
          </c:extLst>
        </c:ser>
        <c:dLbls>
          <c:showLegendKey val="0"/>
          <c:showVal val="0"/>
          <c:showCatName val="0"/>
          <c:showSerName val="0"/>
          <c:showPercent val="0"/>
          <c:showBubbleSize val="0"/>
        </c:dLbls>
        <c:marker val="1"/>
        <c:smooth val="0"/>
        <c:axId val="779439119"/>
        <c:axId val="636342095"/>
      </c:lineChart>
      <c:catAx>
        <c:axId val="7794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42095"/>
        <c:crosses val="autoZero"/>
        <c:auto val="1"/>
        <c:lblAlgn val="ctr"/>
        <c:lblOffset val="100"/>
        <c:noMultiLvlLbl val="0"/>
      </c:catAx>
      <c:valAx>
        <c:axId val="63634209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391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[FirstProject.xlsx]Payment Method!PivotTable4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Payment</a:t>
            </a:r>
            <a:r>
              <a:rPr lang="en-US" b="1" baseline="0"/>
              <a:t> Method</a:t>
            </a:r>
            <a:endParaRPr lang="en-US" b="1"/>
          </a:p>
        </c:rich>
      </c:tx>
      <c:layout>
        <c:manualLayout>
          <c:xMode val="edge"/>
          <c:yMode val="edge"/>
          <c:x val="0.21034817900591532"/>
          <c:y val="9.61541909457642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7284051903899847"/>
          <c:y val="0.24994863534779685"/>
          <c:w val="0.44489627604163856"/>
          <c:h val="0.59912166444732606"/>
        </c:manualLayout>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A7-4BD9-AB19-2A705A37102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BA7-4BD9-AB19-2A705A37102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BA7-4BD9-AB19-2A705A371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Method'!$A$4:$A$6</c:f>
              <c:strCache>
                <c:ptCount val="3"/>
                <c:pt idx="0">
                  <c:v>Card</c:v>
                </c:pt>
                <c:pt idx="1">
                  <c:v>COD</c:v>
                </c:pt>
                <c:pt idx="2">
                  <c:v>Wallet</c:v>
                </c:pt>
              </c:strCache>
            </c:strRef>
          </c:cat>
          <c:val>
            <c:numRef>
              <c:f>'Payment Method'!$B$4:$B$6</c:f>
              <c:numCache>
                <c:formatCode>0</c:formatCode>
                <c:ptCount val="3"/>
                <c:pt idx="0">
                  <c:v>300</c:v>
                </c:pt>
                <c:pt idx="1">
                  <c:v>234</c:v>
                </c:pt>
                <c:pt idx="2">
                  <c:v>135</c:v>
                </c:pt>
              </c:numCache>
            </c:numRef>
          </c:val>
          <c:extLst>
            <c:ext xmlns:c16="http://schemas.microsoft.com/office/drawing/2014/chart" uri="{C3380CC4-5D6E-409C-BE32-E72D297353CC}">
              <c16:uniqueId val="{00000006-F7A0-4F5A-B3A5-FAC9202100F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179236275468567"/>
          <c:y val="0.36562149325399934"/>
          <c:w val="0.23201294413485768"/>
          <c:h val="0.27906884023301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[FirstProject.xlsx]Quantity by category!PivotTable5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Quarterly</a:t>
            </a:r>
            <a:r>
              <a:rPr lang="en-US" b="1" baseline="0"/>
              <a:t> Reports</a:t>
            </a:r>
            <a:endParaRPr lang="en-US" b="1"/>
          </a:p>
        </c:rich>
      </c:tx>
      <c:layout>
        <c:manualLayout>
          <c:xMode val="edge"/>
          <c:yMode val="edge"/>
          <c:x val="0.23718578979165963"/>
          <c:y val="7.90746204452428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1029225446379091"/>
          <c:y val="0.2429229586700945"/>
          <c:w val="0.43209604630799614"/>
          <c:h val="0.6909495636051558"/>
        </c:manualLayout>
      </c:layout>
      <c:pieChart>
        <c:varyColors val="1"/>
        <c:ser>
          <c:idx val="0"/>
          <c:order val="0"/>
          <c:tx>
            <c:strRef>
              <c:f>'Quantity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B-4423-8330-05E3E74D541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5FB-4423-8330-05E3E74D541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5FB-4423-8330-05E3E74D541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5FB-4423-8330-05E3E74D54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by category'!$A$4:$A$7</c:f>
              <c:strCache>
                <c:ptCount val="4"/>
                <c:pt idx="0">
                  <c:v>Qtr1</c:v>
                </c:pt>
                <c:pt idx="1">
                  <c:v>Qtr2</c:v>
                </c:pt>
                <c:pt idx="2">
                  <c:v>Qtr3</c:v>
                </c:pt>
                <c:pt idx="3">
                  <c:v>Qtr4</c:v>
                </c:pt>
              </c:strCache>
            </c:strRef>
          </c:cat>
          <c:val>
            <c:numRef>
              <c:f>'Quantity by category'!$B$4:$B$7</c:f>
              <c:numCache>
                <c:formatCode>#,##0.00</c:formatCode>
                <c:ptCount val="4"/>
                <c:pt idx="0">
                  <c:v>190961.97999999995</c:v>
                </c:pt>
                <c:pt idx="1">
                  <c:v>195925.74999999997</c:v>
                </c:pt>
                <c:pt idx="2">
                  <c:v>177501.25000000015</c:v>
                </c:pt>
                <c:pt idx="3">
                  <c:v>116358.93000000002</c:v>
                </c:pt>
              </c:numCache>
            </c:numRef>
          </c:val>
          <c:extLst>
            <c:ext xmlns:c16="http://schemas.microsoft.com/office/drawing/2014/chart" uri="{C3380CC4-5D6E-409C-BE32-E72D297353CC}">
              <c16:uniqueId val="{00000008-D55D-4A5F-B390-ABFAC22512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185813980556124"/>
          <c:y val="0.37194055228278755"/>
          <c:w val="0.19392067578654465"/>
          <c:h val="0.311983692893008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563880</xdr:colOff>
      <xdr:row>6</xdr:row>
      <xdr:rowOff>53340</xdr:rowOff>
    </xdr:from>
    <xdr:to>
      <xdr:col>9</xdr:col>
      <xdr:colOff>0</xdr:colOff>
      <xdr:row>17</xdr:row>
      <xdr:rowOff>144780</xdr:rowOff>
    </xdr:to>
    <xdr:graphicFrame macro="">
      <xdr:nvGraphicFramePr>
        <xdr:cNvPr id="2" name="Chart 1">
          <a:extLst>
            <a:ext uri="{FF2B5EF4-FFF2-40B4-BE49-F238E27FC236}">
              <a16:creationId xmlns:a16="http://schemas.microsoft.com/office/drawing/2014/main" id="{B1FC5093-AB40-9FB6-52EA-B074BE4F0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6</xdr:row>
      <xdr:rowOff>45720</xdr:rowOff>
    </xdr:from>
    <xdr:to>
      <xdr:col>11</xdr:col>
      <xdr:colOff>167640</xdr:colOff>
      <xdr:row>21</xdr:row>
      <xdr:rowOff>45720</xdr:rowOff>
    </xdr:to>
    <xdr:graphicFrame macro="">
      <xdr:nvGraphicFramePr>
        <xdr:cNvPr id="2" name="Chart 1">
          <a:extLst>
            <a:ext uri="{FF2B5EF4-FFF2-40B4-BE49-F238E27FC236}">
              <a16:creationId xmlns:a16="http://schemas.microsoft.com/office/drawing/2014/main" id="{DDE5F109-5CDD-ED4E-3324-9CF8ACAC8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182880</xdr:colOff>
      <xdr:row>6</xdr:row>
      <xdr:rowOff>45720</xdr:rowOff>
    </xdr:from>
    <xdr:to>
      <xdr:col>11</xdr:col>
      <xdr:colOff>487680</xdr:colOff>
      <xdr:row>21</xdr:row>
      <xdr:rowOff>45720</xdr:rowOff>
    </xdr:to>
    <xdr:graphicFrame macro="">
      <xdr:nvGraphicFramePr>
        <xdr:cNvPr id="5" name="Chart 4">
          <a:extLst>
            <a:ext uri="{FF2B5EF4-FFF2-40B4-BE49-F238E27FC236}">
              <a16:creationId xmlns:a16="http://schemas.microsoft.com/office/drawing/2014/main" id="{D360C135-FFCB-5494-F868-FD4AABDE6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358140</xdr:colOff>
      <xdr:row>1</xdr:row>
      <xdr:rowOff>160020</xdr:rowOff>
    </xdr:from>
    <xdr:to>
      <xdr:col>10</xdr:col>
      <xdr:colOff>53340</xdr:colOff>
      <xdr:row>16</xdr:row>
      <xdr:rowOff>160020</xdr:rowOff>
    </xdr:to>
    <xdr:graphicFrame macro="">
      <xdr:nvGraphicFramePr>
        <xdr:cNvPr id="4" name="Chart 3">
          <a:extLst>
            <a:ext uri="{FF2B5EF4-FFF2-40B4-BE49-F238E27FC236}">
              <a16:creationId xmlns:a16="http://schemas.microsoft.com/office/drawing/2014/main" id="{0E5B2950-8CBC-F882-8CCE-436AE8E9F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318051</xdr:colOff>
      <xdr:row>3</xdr:row>
      <xdr:rowOff>119270</xdr:rowOff>
    </xdr:from>
    <xdr:to>
      <xdr:col>7</xdr:col>
      <xdr:colOff>112644</xdr:colOff>
      <xdr:row>12</xdr:row>
      <xdr:rowOff>39757</xdr:rowOff>
    </xdr:to>
    <xdr:graphicFrame macro="">
      <xdr:nvGraphicFramePr>
        <xdr:cNvPr id="6" name="Chart 5">
          <a:extLst>
            <a:ext uri="{FF2B5EF4-FFF2-40B4-BE49-F238E27FC236}">
              <a16:creationId xmlns:a16="http://schemas.microsoft.com/office/drawing/2014/main" id="{C634EF0F-9CC8-9CD3-4AE3-8236432E9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560294</xdr:colOff>
      <xdr:row>2</xdr:row>
      <xdr:rowOff>0</xdr:rowOff>
    </xdr:from>
    <xdr:to>
      <xdr:col>12</xdr:col>
      <xdr:colOff>11206</xdr:colOff>
      <xdr:row>17</xdr:row>
      <xdr:rowOff>145677</xdr:rowOff>
    </xdr:to>
    <xdr:graphicFrame macro="">
      <xdr:nvGraphicFramePr>
        <xdr:cNvPr id="6" name="Chart 5">
          <a:extLst>
            <a:ext uri="{FF2B5EF4-FFF2-40B4-BE49-F238E27FC236}">
              <a16:creationId xmlns:a16="http://schemas.microsoft.com/office/drawing/2014/main" id="{26548B46-43DF-4A12-9103-9B526D2AF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67235</xdr:colOff>
      <xdr:row>1</xdr:row>
      <xdr:rowOff>168087</xdr:rowOff>
    </xdr:from>
    <xdr:to>
      <xdr:col>21</xdr:col>
      <xdr:colOff>425823</xdr:colOff>
      <xdr:row>17</xdr:row>
      <xdr:rowOff>168089</xdr:rowOff>
    </xdr:to>
    <xdr:graphicFrame macro="">
      <xdr:nvGraphicFramePr>
        <xdr:cNvPr id="7" name="Chart 6">
          <a:extLst>
            <a:ext uri="{FF2B5EF4-FFF2-40B4-BE49-F238E27FC236}">
              <a16:creationId xmlns:a16="http://schemas.microsoft.com/office/drawing/2014/main" id="{D8FD3B37-2E6C-42BF-A578-9689766C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145675</xdr:colOff>
      <xdr:row>18</xdr:row>
      <xdr:rowOff>134471</xdr:rowOff>
    </xdr:from>
    <xdr:to>
      <xdr:col>21</xdr:col>
      <xdr:colOff>450475</xdr:colOff>
      <xdr:row>33</xdr:row>
      <xdr:rowOff>168088</xdr:rowOff>
    </xdr:to>
    <xdr:graphicFrame macro="">
      <xdr:nvGraphicFramePr>
        <xdr:cNvPr id="8" name="Chart 7">
          <a:extLst>
            <a:ext uri="{FF2B5EF4-FFF2-40B4-BE49-F238E27FC236}">
              <a16:creationId xmlns:a16="http://schemas.microsoft.com/office/drawing/2014/main" id="{483B34A8-9C9E-44E6-82E6-5A66608E0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582705</xdr:colOff>
      <xdr:row>18</xdr:row>
      <xdr:rowOff>145677</xdr:rowOff>
    </xdr:from>
    <xdr:to>
      <xdr:col>8</xdr:col>
      <xdr:colOff>67234</xdr:colOff>
      <xdr:row>33</xdr:row>
      <xdr:rowOff>145679</xdr:rowOff>
    </xdr:to>
    <xdr:graphicFrame macro="">
      <xdr:nvGraphicFramePr>
        <xdr:cNvPr id="9" name="Chart 8">
          <a:extLst>
            <a:ext uri="{FF2B5EF4-FFF2-40B4-BE49-F238E27FC236}">
              <a16:creationId xmlns:a16="http://schemas.microsoft.com/office/drawing/2014/main" id="{CDC72490-74C6-4F04-B7CD-035812888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151086</xdr:colOff>
      <xdr:row>18</xdr:row>
      <xdr:rowOff>141815</xdr:rowOff>
    </xdr:from>
    <xdr:to>
      <xdr:col>14</xdr:col>
      <xdr:colOff>39026</xdr:colOff>
      <xdr:row>33</xdr:row>
      <xdr:rowOff>130608</xdr:rowOff>
    </xdr:to>
    <xdr:graphicFrame macro="">
      <xdr:nvGraphicFramePr>
        <xdr:cNvPr id="10" name="Chart 9">
          <a:extLst>
            <a:ext uri="{FF2B5EF4-FFF2-40B4-BE49-F238E27FC236}">
              <a16:creationId xmlns:a16="http://schemas.microsoft.com/office/drawing/2014/main" id="{9592EDD7-A8FF-4905-A97D-A212C2DE5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26276</xdr:colOff>
      <xdr:row>1</xdr:row>
      <xdr:rowOff>78828</xdr:rowOff>
    </xdr:from>
    <xdr:to>
      <xdr:col>2</xdr:col>
      <xdr:colOff>513957</xdr:colOff>
      <xdr:row>7</xdr:row>
      <xdr:rowOff>131380</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E701024B-1A0C-BC4E-2D96-3BC7566E04B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6276" y="510628"/>
              <a:ext cx="1706881" cy="1119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512379</xdr:colOff>
      <xdr:row>14</xdr:row>
      <xdr:rowOff>65691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B1CA7CC9-6F89-1829-FA15-4877C0808F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76400"/>
              <a:ext cx="1731579" cy="1132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120931</xdr:rowOff>
    </xdr:from>
    <xdr:to>
      <xdr:col>2</xdr:col>
      <xdr:colOff>486103</xdr:colOff>
      <xdr:row>21</xdr:row>
      <xdr:rowOff>102399</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E059AE7B-D1DD-4E34-E1B5-33A49C377B0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2864131"/>
              <a:ext cx="1705303" cy="1226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131380</xdr:rowOff>
    </xdr:from>
    <xdr:to>
      <xdr:col>2</xdr:col>
      <xdr:colOff>493059</xdr:colOff>
      <xdr:row>27</xdr:row>
      <xdr:rowOff>123264</xdr:rowOff>
    </xdr:to>
    <mc:AlternateContent xmlns:mc="http://schemas.openxmlformats.org/markup-compatibility/2006" xmlns:a14="http://schemas.microsoft.com/office/drawing/2010/main">
      <mc:Choice Requires="a14">
        <xdr:graphicFrame macro="">
          <xdr:nvGraphicFramePr>
            <xdr:cNvPr id="16" name="Quarters (order_date)">
              <a:extLst>
                <a:ext uri="{FF2B5EF4-FFF2-40B4-BE49-F238E27FC236}">
                  <a16:creationId xmlns:a16="http://schemas.microsoft.com/office/drawing/2014/main" id="{B53AFEC7-2547-4594-2524-FE90C4B81F87}"/>
                </a:ext>
              </a:extLst>
            </xdr:cNvPr>
            <xdr:cNvGraphicFramePr/>
          </xdr:nvGraphicFramePr>
          <xdr:xfrm>
            <a:off x="0" y="0"/>
            <a:ext cx="0" cy="0"/>
          </xdr:xfrm>
          <a:graphic>
            <a:graphicData uri="http://schemas.microsoft.com/office/drawing/2010/slicer">
              <sle:slicer xmlns:sle="http://schemas.microsoft.com/office/drawing/2010/slicer" name="Quarters (order_date)"/>
            </a:graphicData>
          </a:graphic>
        </xdr:graphicFrame>
      </mc:Choice>
      <mc:Fallback xmlns="">
        <xdr:sp macro="" textlink="">
          <xdr:nvSpPr>
            <xdr:cNvPr id="0" name=""/>
            <xdr:cNvSpPr>
              <a:spLocks noTextEdit="1"/>
            </xdr:cNvSpPr>
          </xdr:nvSpPr>
          <xdr:spPr>
            <a:xfrm>
              <a:off x="0" y="4119180"/>
              <a:ext cx="1712259" cy="1058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148195</xdr:rowOff>
    </xdr:from>
    <xdr:to>
      <xdr:col>2</xdr:col>
      <xdr:colOff>459826</xdr:colOff>
      <xdr:row>34</xdr:row>
      <xdr:rowOff>131379</xdr:rowOff>
    </xdr:to>
    <mc:AlternateContent xmlns:mc="http://schemas.openxmlformats.org/markup-compatibility/2006" xmlns:a14="http://schemas.microsoft.com/office/drawing/2010/main">
      <mc:Choice Requires="a14">
        <xdr:graphicFrame macro="">
          <xdr:nvGraphicFramePr>
            <xdr:cNvPr id="2" name="Years (order_date)">
              <a:extLst>
                <a:ext uri="{FF2B5EF4-FFF2-40B4-BE49-F238E27FC236}">
                  <a16:creationId xmlns:a16="http://schemas.microsoft.com/office/drawing/2014/main" id="{34658912-8859-E6D2-41BA-467769FDC83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5202795"/>
              <a:ext cx="1679026" cy="1227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u1919 Susmitha" refreshedDate="46249.576759490737" createdVersion="8" refreshedVersion="8" minRefreshableVersion="3" recordCount="669" xr:uid="{226AF439-8BAF-45EF-A1D1-6D8B2FDB132A}">
  <cacheSource type="worksheet">
    <worksheetSource name="Table1"/>
  </cacheSource>
  <cacheFields count="14">
    <cacheField name="order_id" numFmtId="0">
      <sharedItems containsSemiMixedTypes="0" containsString="0" containsNumber="1" containsInteger="1" minValue="10001" maxValue="10669"/>
    </cacheField>
    <cacheField name="order_date" numFmtId="14">
      <sharedItems containsSemiMixedTypes="0" containsNonDate="0" containsDate="1" containsString="0" minDate="2022-01-01T00:00:00" maxDate="2023-11-01T00:00:00" count="669">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fieldGroup par="13"/>
    </cacheField>
    <cacheField name="months" numFmtId="14">
      <sharedItems count="12">
        <s v="January"/>
        <s v="February"/>
        <s v="March"/>
        <s v="April"/>
        <s v="May"/>
        <s v="June"/>
        <s v="July"/>
        <s v="August"/>
        <s v="September"/>
        <s v="October"/>
        <s v="November"/>
        <s v="December"/>
      </sharedItems>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78" maxValue="599.32000000000005"/>
    </cacheField>
    <cacheField name="discount" numFmtId="9">
      <sharedItems containsSemiMixedTypes="0" containsString="0" containsNumber="1" minValue="0" maxValue="0.35"/>
    </cacheField>
    <cacheField name="payment_method" numFmtId="0">
      <sharedItems count="3">
        <s v="Wallet"/>
        <s v="Card"/>
        <s v="COD"/>
      </sharedItems>
    </cacheField>
    <cacheField name="customer_rating" numFmtId="0">
      <sharedItems containsSemiMixedTypes="0" containsString="0" containsNumber="1" minValue="1" maxValue="5"/>
    </cacheField>
    <cacheField name="revenue" numFmtId="164">
      <sharedItems containsSemiMixedTypes="0" containsString="0" containsNumber="1" minValue="12.83" maxValue="3917.54"/>
    </cacheField>
    <cacheField name="Months (order_date)" numFmtId="0" databaseField="0">
      <fieldGroup base="1">
        <rangePr groupBy="months" startDate="2022-01-01T00:00:00" endDate="2023-11-01T00:00:00"/>
        <groupItems count="14">
          <s v="&lt;01-01-2022"/>
          <s v="Jan"/>
          <s v="Feb"/>
          <s v="Mar"/>
          <s v="Apr"/>
          <s v="May"/>
          <s v="Jun"/>
          <s v="Jul"/>
          <s v="Aug"/>
          <s v="Sep"/>
          <s v="Oct"/>
          <s v="Nov"/>
          <s v="Dec"/>
          <s v="&gt;01-11-2023"/>
        </groupItems>
      </fieldGroup>
    </cacheField>
    <cacheField name="Quarters (order_date)" numFmtId="0" databaseField="0">
      <fieldGroup base="1">
        <rangePr groupBy="quarters" startDate="2022-01-01T00:00:00" endDate="2023-11-01T00:00:00"/>
        <groupItems count="6">
          <s v="&lt;01-01-2022"/>
          <s v="Qtr1"/>
          <s v="Qtr2"/>
          <s v="Qtr3"/>
          <s v="Qtr4"/>
          <s v="&gt;01-11-2023"/>
        </groupItems>
      </fieldGroup>
    </cacheField>
    <cacheField name="Years (order_date)" numFmtId="0" databaseField="0">
      <fieldGroup base="1">
        <rangePr groupBy="years" startDate="2022-01-01T00:00:00" endDate="2023-11-01T00:00:00"/>
        <groupItems count="4">
          <s v="&lt;01-01-2022"/>
          <s v="2022"/>
          <s v="2023"/>
          <s v="&gt;01-11-2023"/>
        </groupItems>
      </fieldGroup>
    </cacheField>
  </cacheFields>
  <extLst>
    <ext xmlns:x14="http://schemas.microsoft.com/office/spreadsheetml/2009/9/main" uri="{725AE2AE-9491-48be-B2B4-4EB974FC3084}">
      <x14:pivotCacheDefinition pivotCacheId="1885646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9">
  <r>
    <n v="10001"/>
    <x v="0"/>
    <x v="0"/>
    <x v="0"/>
    <x v="0"/>
    <n v="7"/>
    <n v="373.65"/>
    <n v="0.28000000000000003"/>
    <x v="0"/>
    <n v="4.7"/>
    <n v="1883.2"/>
  </r>
  <r>
    <n v="10002"/>
    <x v="1"/>
    <x v="0"/>
    <x v="1"/>
    <x v="0"/>
    <n v="7"/>
    <n v="47.74"/>
    <n v="0.09"/>
    <x v="1"/>
    <n v="3.9"/>
    <n v="304.10000000000002"/>
  </r>
  <r>
    <n v="10003"/>
    <x v="2"/>
    <x v="0"/>
    <x v="0"/>
    <x v="1"/>
    <n v="3"/>
    <n v="311.27999999999997"/>
    <n v="0.31"/>
    <x v="2"/>
    <n v="2.5"/>
    <n v="644.35"/>
  </r>
  <r>
    <n v="10004"/>
    <x v="3"/>
    <x v="0"/>
    <x v="2"/>
    <x v="2"/>
    <n v="5"/>
    <n v="524.47"/>
    <n v="0.02"/>
    <x v="0"/>
    <n v="1.6"/>
    <n v="2569.9"/>
  </r>
  <r>
    <n v="10005"/>
    <x v="4"/>
    <x v="0"/>
    <x v="1"/>
    <x v="2"/>
    <n v="5"/>
    <n v="139.87"/>
    <n v="0.33"/>
    <x v="0"/>
    <n v="4.9000000000000004"/>
    <n v="468.56"/>
  </r>
  <r>
    <n v="10006"/>
    <x v="5"/>
    <x v="0"/>
    <x v="2"/>
    <x v="2"/>
    <n v="2"/>
    <n v="264.44"/>
    <n v="0.2"/>
    <x v="1"/>
    <n v="3.3"/>
    <n v="423.1"/>
  </r>
  <r>
    <n v="10007"/>
    <x v="6"/>
    <x v="0"/>
    <x v="1"/>
    <x v="0"/>
    <n v="6"/>
    <n v="564.6"/>
    <n v="0.23"/>
    <x v="1"/>
    <n v="1.8"/>
    <n v="2608.4499999999998"/>
  </r>
  <r>
    <n v="10008"/>
    <x v="7"/>
    <x v="0"/>
    <x v="0"/>
    <x v="3"/>
    <n v="6"/>
    <n v="265.70999999999998"/>
    <n v="0.13"/>
    <x v="1"/>
    <n v="3.7"/>
    <n v="1387.01"/>
  </r>
  <r>
    <n v="10009"/>
    <x v="8"/>
    <x v="0"/>
    <x v="1"/>
    <x v="0"/>
    <n v="6"/>
    <n v="224.65"/>
    <n v="0.27"/>
    <x v="1"/>
    <n v="1.4"/>
    <n v="983.97"/>
  </r>
  <r>
    <n v="10010"/>
    <x v="9"/>
    <x v="0"/>
    <x v="1"/>
    <x v="2"/>
    <n v="4"/>
    <n v="272.70999999999998"/>
    <n v="0.06"/>
    <x v="1"/>
    <n v="4.5"/>
    <n v="1025.3900000000001"/>
  </r>
  <r>
    <n v="10011"/>
    <x v="10"/>
    <x v="0"/>
    <x v="1"/>
    <x v="2"/>
    <n v="6"/>
    <n v="318.88"/>
    <n v="0.02"/>
    <x v="2"/>
    <n v="1.4"/>
    <n v="1875.01"/>
  </r>
  <r>
    <n v="10012"/>
    <x v="11"/>
    <x v="0"/>
    <x v="2"/>
    <x v="2"/>
    <n v="3"/>
    <n v="384.71"/>
    <n v="0.14000000000000001"/>
    <x v="2"/>
    <n v="1.9"/>
    <n v="992.55"/>
  </r>
  <r>
    <n v="10013"/>
    <x v="12"/>
    <x v="0"/>
    <x v="0"/>
    <x v="0"/>
    <n v="7"/>
    <n v="483.41"/>
    <n v="0.3"/>
    <x v="2"/>
    <n v="1.4"/>
    <n v="2368.71"/>
  </r>
  <r>
    <n v="10014"/>
    <x v="13"/>
    <x v="0"/>
    <x v="1"/>
    <x v="2"/>
    <n v="7"/>
    <n v="279.48"/>
    <n v="0.26"/>
    <x v="2"/>
    <n v="1.4"/>
    <n v="1447.71"/>
  </r>
  <r>
    <n v="10015"/>
    <x v="14"/>
    <x v="0"/>
    <x v="1"/>
    <x v="1"/>
    <n v="4"/>
    <n v="493.23"/>
    <n v="0.18"/>
    <x v="1"/>
    <n v="3.1"/>
    <n v="1617.79"/>
  </r>
  <r>
    <n v="10016"/>
    <x v="15"/>
    <x v="0"/>
    <x v="1"/>
    <x v="2"/>
    <n v="2"/>
    <n v="327.23"/>
    <n v="0.2"/>
    <x v="0"/>
    <n v="3.7"/>
    <n v="523.57000000000005"/>
  </r>
  <r>
    <n v="10017"/>
    <x v="16"/>
    <x v="0"/>
    <x v="1"/>
    <x v="3"/>
    <n v="3"/>
    <n v="213.01"/>
    <n v="0.05"/>
    <x v="0"/>
    <n v="4.2"/>
    <n v="607.08000000000004"/>
  </r>
  <r>
    <n v="10018"/>
    <x v="17"/>
    <x v="0"/>
    <x v="2"/>
    <x v="1"/>
    <n v="7"/>
    <n v="399.9"/>
    <n v="0.28999999999999998"/>
    <x v="2"/>
    <n v="3.8"/>
    <n v="1987.5"/>
  </r>
  <r>
    <n v="10019"/>
    <x v="18"/>
    <x v="0"/>
    <x v="3"/>
    <x v="2"/>
    <n v="3"/>
    <n v="434.87"/>
    <n v="0.28000000000000003"/>
    <x v="0"/>
    <n v="2.5"/>
    <n v="939.32"/>
  </r>
  <r>
    <n v="10020"/>
    <x v="19"/>
    <x v="0"/>
    <x v="2"/>
    <x v="1"/>
    <n v="7"/>
    <n v="341.46"/>
    <n v="0.23"/>
    <x v="1"/>
    <n v="3.2"/>
    <n v="1840.47"/>
  </r>
  <r>
    <n v="10021"/>
    <x v="20"/>
    <x v="0"/>
    <x v="3"/>
    <x v="2"/>
    <n v="1"/>
    <n v="48.12"/>
    <n v="0.16"/>
    <x v="2"/>
    <n v="4.7"/>
    <n v="40.42"/>
  </r>
  <r>
    <n v="10022"/>
    <x v="21"/>
    <x v="0"/>
    <x v="3"/>
    <x v="3"/>
    <n v="2"/>
    <n v="114.38"/>
    <n v="0.34"/>
    <x v="1"/>
    <n v="2.6"/>
    <n v="150.97999999999999"/>
  </r>
  <r>
    <n v="10023"/>
    <x v="22"/>
    <x v="0"/>
    <x v="3"/>
    <x v="2"/>
    <n v="2"/>
    <n v="181.9"/>
    <n v="0.31"/>
    <x v="1"/>
    <n v="2"/>
    <n v="251.02"/>
  </r>
  <r>
    <n v="10024"/>
    <x v="23"/>
    <x v="0"/>
    <x v="1"/>
    <x v="1"/>
    <n v="1"/>
    <n v="180.34"/>
    <n v="0.23"/>
    <x v="1"/>
    <n v="3.1"/>
    <n v="138.86000000000001"/>
  </r>
  <r>
    <n v="10025"/>
    <x v="24"/>
    <x v="0"/>
    <x v="1"/>
    <x v="3"/>
    <n v="4"/>
    <n v="408.95"/>
    <n v="0.13"/>
    <x v="2"/>
    <n v="2.2000000000000002"/>
    <n v="1423.15"/>
  </r>
  <r>
    <n v="10026"/>
    <x v="25"/>
    <x v="0"/>
    <x v="2"/>
    <x v="0"/>
    <n v="7"/>
    <n v="25.73"/>
    <n v="0.22"/>
    <x v="1"/>
    <n v="2"/>
    <n v="140.49"/>
  </r>
  <r>
    <n v="10027"/>
    <x v="26"/>
    <x v="0"/>
    <x v="3"/>
    <x v="3"/>
    <n v="7"/>
    <n v="457.07"/>
    <n v="0.2"/>
    <x v="2"/>
    <n v="4.0999999999999996"/>
    <n v="2559.59"/>
  </r>
  <r>
    <n v="10028"/>
    <x v="27"/>
    <x v="0"/>
    <x v="2"/>
    <x v="3"/>
    <n v="7"/>
    <n v="170.23"/>
    <n v="0.14000000000000001"/>
    <x v="1"/>
    <n v="4.5999999999999996"/>
    <n v="1024.78"/>
  </r>
  <r>
    <n v="10029"/>
    <x v="28"/>
    <x v="0"/>
    <x v="1"/>
    <x v="3"/>
    <n v="6"/>
    <n v="196.36"/>
    <n v="0.11"/>
    <x v="0"/>
    <n v="3"/>
    <n v="1048.56"/>
  </r>
  <r>
    <n v="10030"/>
    <x v="29"/>
    <x v="0"/>
    <x v="2"/>
    <x v="1"/>
    <n v="6"/>
    <n v="323.83"/>
    <n v="0.14000000000000001"/>
    <x v="2"/>
    <n v="4.0999999999999996"/>
    <n v="1670.96"/>
  </r>
  <r>
    <n v="10031"/>
    <x v="30"/>
    <x v="0"/>
    <x v="2"/>
    <x v="3"/>
    <n v="6"/>
    <n v="141.32"/>
    <n v="0.2"/>
    <x v="1"/>
    <n v="1.7"/>
    <n v="678.34"/>
  </r>
  <r>
    <n v="10032"/>
    <x v="31"/>
    <x v="1"/>
    <x v="1"/>
    <x v="2"/>
    <n v="6"/>
    <n v="532.41999999999996"/>
    <n v="0.15"/>
    <x v="1"/>
    <n v="3.2"/>
    <n v="2715.34"/>
  </r>
  <r>
    <n v="10033"/>
    <x v="32"/>
    <x v="1"/>
    <x v="2"/>
    <x v="3"/>
    <n v="6"/>
    <n v="64.94"/>
    <n v="0.09"/>
    <x v="0"/>
    <n v="3.5"/>
    <n v="354.57"/>
  </r>
  <r>
    <n v="10034"/>
    <x v="33"/>
    <x v="1"/>
    <x v="3"/>
    <x v="3"/>
    <n v="1"/>
    <n v="274.95999999999998"/>
    <n v="0.27"/>
    <x v="1"/>
    <n v="3"/>
    <n v="200.72"/>
  </r>
  <r>
    <n v="10035"/>
    <x v="34"/>
    <x v="1"/>
    <x v="2"/>
    <x v="2"/>
    <n v="2"/>
    <n v="511.91"/>
    <n v="0.19"/>
    <x v="2"/>
    <n v="1.5"/>
    <n v="829.29"/>
  </r>
  <r>
    <n v="10036"/>
    <x v="35"/>
    <x v="1"/>
    <x v="2"/>
    <x v="2"/>
    <n v="4"/>
    <n v="375.27"/>
    <n v="0.02"/>
    <x v="2"/>
    <n v="3.9"/>
    <n v="1471.06"/>
  </r>
  <r>
    <n v="10037"/>
    <x v="36"/>
    <x v="1"/>
    <x v="1"/>
    <x v="0"/>
    <n v="3"/>
    <n v="186.01"/>
    <n v="0.13"/>
    <x v="1"/>
    <n v="4.4000000000000004"/>
    <n v="485.49"/>
  </r>
  <r>
    <n v="10038"/>
    <x v="37"/>
    <x v="1"/>
    <x v="2"/>
    <x v="3"/>
    <n v="6"/>
    <n v="261.14"/>
    <n v="0.31"/>
    <x v="1"/>
    <n v="3.5"/>
    <n v="1081.1199999999999"/>
  </r>
  <r>
    <n v="10039"/>
    <x v="38"/>
    <x v="1"/>
    <x v="2"/>
    <x v="1"/>
    <n v="1"/>
    <n v="428.42"/>
    <n v="0.26"/>
    <x v="2"/>
    <n v="1.7"/>
    <n v="317.02999999999997"/>
  </r>
  <r>
    <n v="10040"/>
    <x v="39"/>
    <x v="1"/>
    <x v="3"/>
    <x v="3"/>
    <n v="7"/>
    <n v="584.36"/>
    <n v="0.11"/>
    <x v="1"/>
    <n v="1.3"/>
    <n v="3640.56"/>
  </r>
  <r>
    <n v="10041"/>
    <x v="40"/>
    <x v="1"/>
    <x v="2"/>
    <x v="3"/>
    <n v="4"/>
    <n v="537.49"/>
    <n v="0.33"/>
    <x v="1"/>
    <n v="2.2000000000000002"/>
    <n v="1440.47"/>
  </r>
  <r>
    <n v="10042"/>
    <x v="41"/>
    <x v="1"/>
    <x v="3"/>
    <x v="2"/>
    <n v="4"/>
    <n v="215.32"/>
    <n v="0.03"/>
    <x v="1"/>
    <n v="1.1000000000000001"/>
    <n v="835.44"/>
  </r>
  <r>
    <n v="10043"/>
    <x v="42"/>
    <x v="1"/>
    <x v="2"/>
    <x v="0"/>
    <n v="4"/>
    <n v="598.95000000000005"/>
    <n v="0.34"/>
    <x v="1"/>
    <n v="4.4000000000000004"/>
    <n v="1581.23"/>
  </r>
  <r>
    <n v="10044"/>
    <x v="43"/>
    <x v="1"/>
    <x v="2"/>
    <x v="3"/>
    <n v="1"/>
    <n v="17.05"/>
    <n v="0.09"/>
    <x v="1"/>
    <n v="3.8"/>
    <n v="15.52"/>
  </r>
  <r>
    <n v="10045"/>
    <x v="44"/>
    <x v="1"/>
    <x v="3"/>
    <x v="1"/>
    <n v="3"/>
    <n v="31.16"/>
    <n v="0"/>
    <x v="0"/>
    <n v="3.3"/>
    <n v="93.48"/>
  </r>
  <r>
    <n v="10046"/>
    <x v="45"/>
    <x v="1"/>
    <x v="2"/>
    <x v="3"/>
    <n v="6"/>
    <n v="496.95"/>
    <n v="0.15"/>
    <x v="2"/>
    <n v="4.5999999999999996"/>
    <n v="2534.44"/>
  </r>
  <r>
    <n v="10047"/>
    <x v="46"/>
    <x v="1"/>
    <x v="2"/>
    <x v="1"/>
    <n v="4"/>
    <n v="131.69"/>
    <n v="0.13"/>
    <x v="2"/>
    <n v="1.4"/>
    <n v="458.28"/>
  </r>
  <r>
    <n v="10048"/>
    <x v="47"/>
    <x v="1"/>
    <x v="1"/>
    <x v="2"/>
    <n v="1"/>
    <n v="50.55"/>
    <n v="0.19"/>
    <x v="1"/>
    <n v="3.9"/>
    <n v="40.950000000000003"/>
  </r>
  <r>
    <n v="10049"/>
    <x v="48"/>
    <x v="1"/>
    <x v="2"/>
    <x v="0"/>
    <n v="7"/>
    <n v="153.72999999999999"/>
    <n v="0.28000000000000003"/>
    <x v="1"/>
    <n v="1.6"/>
    <n v="774.8"/>
  </r>
  <r>
    <n v="10050"/>
    <x v="49"/>
    <x v="1"/>
    <x v="3"/>
    <x v="3"/>
    <n v="2"/>
    <n v="264.27"/>
    <n v="0.28999999999999998"/>
    <x v="0"/>
    <n v="1.2"/>
    <n v="375.26"/>
  </r>
  <r>
    <n v="10051"/>
    <x v="50"/>
    <x v="1"/>
    <x v="2"/>
    <x v="0"/>
    <n v="7"/>
    <n v="442.38"/>
    <n v="0.14000000000000001"/>
    <x v="2"/>
    <n v="1.5"/>
    <n v="2663.13"/>
  </r>
  <r>
    <n v="10052"/>
    <x v="51"/>
    <x v="1"/>
    <x v="3"/>
    <x v="3"/>
    <n v="1"/>
    <n v="380.24"/>
    <n v="0.15"/>
    <x v="1"/>
    <n v="4.8"/>
    <n v="323.2"/>
  </r>
  <r>
    <n v="10053"/>
    <x v="52"/>
    <x v="1"/>
    <x v="0"/>
    <x v="1"/>
    <n v="1"/>
    <n v="154.01"/>
    <n v="0.05"/>
    <x v="1"/>
    <n v="2.8"/>
    <n v="146.31"/>
  </r>
  <r>
    <n v="10054"/>
    <x v="53"/>
    <x v="1"/>
    <x v="1"/>
    <x v="0"/>
    <n v="1"/>
    <n v="309.41000000000003"/>
    <n v="0.02"/>
    <x v="2"/>
    <n v="1.2"/>
    <n v="303.22000000000003"/>
  </r>
  <r>
    <n v="10055"/>
    <x v="54"/>
    <x v="1"/>
    <x v="0"/>
    <x v="3"/>
    <n v="4"/>
    <n v="556.84"/>
    <n v="0.22"/>
    <x v="0"/>
    <n v="3.3"/>
    <n v="1737.34"/>
  </r>
  <r>
    <n v="10056"/>
    <x v="55"/>
    <x v="1"/>
    <x v="1"/>
    <x v="2"/>
    <n v="1"/>
    <n v="491.78"/>
    <n v="0.02"/>
    <x v="1"/>
    <n v="1.8"/>
    <n v="481.94"/>
  </r>
  <r>
    <n v="10057"/>
    <x v="56"/>
    <x v="1"/>
    <x v="0"/>
    <x v="1"/>
    <n v="2"/>
    <n v="204.07"/>
    <n v="0.26"/>
    <x v="2"/>
    <n v="1"/>
    <n v="302.02"/>
  </r>
  <r>
    <n v="10058"/>
    <x v="57"/>
    <x v="1"/>
    <x v="2"/>
    <x v="0"/>
    <n v="4"/>
    <n v="589.62"/>
    <n v="0.19"/>
    <x v="2"/>
    <n v="4"/>
    <n v="1910.37"/>
  </r>
  <r>
    <n v="10059"/>
    <x v="58"/>
    <x v="1"/>
    <x v="3"/>
    <x v="3"/>
    <n v="7"/>
    <n v="429.54"/>
    <n v="7.0000000000000007E-2"/>
    <x v="0"/>
    <n v="1.6"/>
    <n v="2796.31"/>
  </r>
  <r>
    <n v="10060"/>
    <x v="59"/>
    <x v="2"/>
    <x v="1"/>
    <x v="0"/>
    <n v="2"/>
    <n v="51.53"/>
    <n v="0.19"/>
    <x v="0"/>
    <n v="4.8"/>
    <n v="83.48"/>
  </r>
  <r>
    <n v="10061"/>
    <x v="60"/>
    <x v="2"/>
    <x v="1"/>
    <x v="3"/>
    <n v="5"/>
    <n v="35.57"/>
    <n v="0.06"/>
    <x v="1"/>
    <n v="3.4"/>
    <n v="167.18"/>
  </r>
  <r>
    <n v="10062"/>
    <x v="61"/>
    <x v="2"/>
    <x v="1"/>
    <x v="1"/>
    <n v="7"/>
    <n v="113.52"/>
    <n v="0.15"/>
    <x v="2"/>
    <n v="1.3"/>
    <n v="675.44"/>
  </r>
  <r>
    <n v="10063"/>
    <x v="62"/>
    <x v="2"/>
    <x v="3"/>
    <x v="2"/>
    <n v="1"/>
    <n v="440.8"/>
    <n v="0.28000000000000003"/>
    <x v="2"/>
    <n v="1.9"/>
    <n v="317.38"/>
  </r>
  <r>
    <n v="10064"/>
    <x v="63"/>
    <x v="2"/>
    <x v="2"/>
    <x v="1"/>
    <n v="6"/>
    <n v="122.49"/>
    <n v="0.16"/>
    <x v="2"/>
    <n v="3.4"/>
    <n v="617.35"/>
  </r>
  <r>
    <n v="10065"/>
    <x v="64"/>
    <x v="2"/>
    <x v="2"/>
    <x v="0"/>
    <n v="6"/>
    <n v="314.22000000000003"/>
    <n v="0.05"/>
    <x v="0"/>
    <n v="2.4"/>
    <n v="1791.05"/>
  </r>
  <r>
    <n v="10066"/>
    <x v="65"/>
    <x v="2"/>
    <x v="3"/>
    <x v="0"/>
    <n v="4"/>
    <n v="69.56"/>
    <n v="0.25"/>
    <x v="0"/>
    <n v="3.1"/>
    <n v="208.68"/>
  </r>
  <r>
    <n v="10067"/>
    <x v="66"/>
    <x v="2"/>
    <x v="3"/>
    <x v="3"/>
    <n v="6"/>
    <n v="553.72"/>
    <n v="7.0000000000000007E-2"/>
    <x v="1"/>
    <n v="4.2"/>
    <n v="3089.76"/>
  </r>
  <r>
    <n v="10068"/>
    <x v="67"/>
    <x v="2"/>
    <x v="0"/>
    <x v="1"/>
    <n v="7"/>
    <n v="216.22"/>
    <n v="0.26"/>
    <x v="1"/>
    <n v="4.2"/>
    <n v="1120.02"/>
  </r>
  <r>
    <n v="10069"/>
    <x v="68"/>
    <x v="2"/>
    <x v="3"/>
    <x v="3"/>
    <n v="4"/>
    <n v="546.26"/>
    <n v="0.17"/>
    <x v="2"/>
    <n v="3.8"/>
    <n v="1813.58"/>
  </r>
  <r>
    <n v="10070"/>
    <x v="69"/>
    <x v="2"/>
    <x v="0"/>
    <x v="1"/>
    <n v="7"/>
    <n v="567.75"/>
    <n v="0.16"/>
    <x v="1"/>
    <n v="4.5"/>
    <n v="3338.37"/>
  </r>
  <r>
    <n v="10071"/>
    <x v="70"/>
    <x v="2"/>
    <x v="3"/>
    <x v="0"/>
    <n v="1"/>
    <n v="18.59"/>
    <n v="0.3"/>
    <x v="1"/>
    <n v="1.8"/>
    <n v="13.01"/>
  </r>
  <r>
    <n v="10072"/>
    <x v="71"/>
    <x v="2"/>
    <x v="2"/>
    <x v="3"/>
    <n v="3"/>
    <n v="286.52"/>
    <n v="0.25"/>
    <x v="1"/>
    <n v="1.7"/>
    <n v="644.66999999999996"/>
  </r>
  <r>
    <n v="10073"/>
    <x v="72"/>
    <x v="2"/>
    <x v="2"/>
    <x v="3"/>
    <n v="3"/>
    <n v="29.42"/>
    <n v="0.01"/>
    <x v="0"/>
    <n v="4.2"/>
    <n v="87.38"/>
  </r>
  <r>
    <n v="10074"/>
    <x v="73"/>
    <x v="2"/>
    <x v="3"/>
    <x v="1"/>
    <n v="2"/>
    <n v="546.59"/>
    <n v="0.1"/>
    <x v="1"/>
    <n v="2.2999999999999998"/>
    <n v="983.86"/>
  </r>
  <r>
    <n v="10075"/>
    <x v="74"/>
    <x v="2"/>
    <x v="1"/>
    <x v="2"/>
    <n v="1"/>
    <n v="318.27"/>
    <n v="0.3"/>
    <x v="2"/>
    <n v="3"/>
    <n v="222.79"/>
  </r>
  <r>
    <n v="10076"/>
    <x v="75"/>
    <x v="2"/>
    <x v="2"/>
    <x v="1"/>
    <n v="6"/>
    <n v="58.84"/>
    <n v="0.01"/>
    <x v="1"/>
    <n v="4"/>
    <n v="349.51"/>
  </r>
  <r>
    <n v="10077"/>
    <x v="76"/>
    <x v="2"/>
    <x v="1"/>
    <x v="2"/>
    <n v="1"/>
    <n v="79.510000000000005"/>
    <n v="0.19"/>
    <x v="1"/>
    <n v="2.6"/>
    <n v="64.400000000000006"/>
  </r>
  <r>
    <n v="10078"/>
    <x v="77"/>
    <x v="2"/>
    <x v="0"/>
    <x v="1"/>
    <n v="5"/>
    <n v="239.35"/>
    <n v="0.25"/>
    <x v="1"/>
    <n v="1.5"/>
    <n v="897.56"/>
  </r>
  <r>
    <n v="10079"/>
    <x v="78"/>
    <x v="2"/>
    <x v="1"/>
    <x v="0"/>
    <n v="3"/>
    <n v="565.04"/>
    <n v="0.22"/>
    <x v="1"/>
    <n v="3.7"/>
    <n v="1322.19"/>
  </r>
  <r>
    <n v="10080"/>
    <x v="79"/>
    <x v="2"/>
    <x v="1"/>
    <x v="3"/>
    <n v="6"/>
    <n v="420.35"/>
    <n v="0.27"/>
    <x v="0"/>
    <n v="4.3"/>
    <n v="1841.13"/>
  </r>
  <r>
    <n v="10081"/>
    <x v="80"/>
    <x v="2"/>
    <x v="1"/>
    <x v="1"/>
    <n v="7"/>
    <n v="522.55999999999995"/>
    <n v="0.25"/>
    <x v="0"/>
    <n v="1.1000000000000001"/>
    <n v="2743.44"/>
  </r>
  <r>
    <n v="10082"/>
    <x v="81"/>
    <x v="2"/>
    <x v="2"/>
    <x v="0"/>
    <n v="7"/>
    <n v="229.38"/>
    <n v="0.24"/>
    <x v="2"/>
    <n v="3.3"/>
    <n v="1220.3"/>
  </r>
  <r>
    <n v="10083"/>
    <x v="82"/>
    <x v="2"/>
    <x v="1"/>
    <x v="1"/>
    <n v="3"/>
    <n v="40.28"/>
    <n v="0.28999999999999998"/>
    <x v="1"/>
    <n v="2.9"/>
    <n v="85.8"/>
  </r>
  <r>
    <n v="10084"/>
    <x v="83"/>
    <x v="2"/>
    <x v="1"/>
    <x v="3"/>
    <n v="1"/>
    <n v="584.98"/>
    <n v="0.23"/>
    <x v="2"/>
    <n v="2"/>
    <n v="450.43"/>
  </r>
  <r>
    <n v="10085"/>
    <x v="84"/>
    <x v="2"/>
    <x v="2"/>
    <x v="1"/>
    <n v="6"/>
    <n v="25.05"/>
    <n v="0.14000000000000001"/>
    <x v="1"/>
    <n v="1.6"/>
    <n v="129.26"/>
  </r>
  <r>
    <n v="10086"/>
    <x v="85"/>
    <x v="2"/>
    <x v="3"/>
    <x v="2"/>
    <n v="2"/>
    <n v="569.38"/>
    <n v="0.17"/>
    <x v="1"/>
    <n v="1.8"/>
    <n v="945.17"/>
  </r>
  <r>
    <n v="10087"/>
    <x v="86"/>
    <x v="2"/>
    <x v="1"/>
    <x v="3"/>
    <n v="7"/>
    <n v="230.68"/>
    <n v="0.25"/>
    <x v="2"/>
    <n v="3.9"/>
    <n v="1211.07"/>
  </r>
  <r>
    <n v="10088"/>
    <x v="87"/>
    <x v="2"/>
    <x v="3"/>
    <x v="2"/>
    <n v="1"/>
    <n v="20.9"/>
    <n v="0.31"/>
    <x v="2"/>
    <n v="3.1"/>
    <n v="14.42"/>
  </r>
  <r>
    <n v="10089"/>
    <x v="88"/>
    <x v="2"/>
    <x v="0"/>
    <x v="0"/>
    <n v="2"/>
    <n v="418.16"/>
    <n v="0.1"/>
    <x v="1"/>
    <n v="4.9000000000000004"/>
    <n v="752.69"/>
  </r>
  <r>
    <n v="10090"/>
    <x v="89"/>
    <x v="2"/>
    <x v="2"/>
    <x v="0"/>
    <n v="6"/>
    <n v="588.62"/>
    <n v="0.12"/>
    <x v="1"/>
    <n v="2"/>
    <n v="3107.91"/>
  </r>
  <r>
    <n v="10091"/>
    <x v="90"/>
    <x v="3"/>
    <x v="3"/>
    <x v="1"/>
    <n v="3"/>
    <n v="579.89"/>
    <n v="0.33"/>
    <x v="0"/>
    <n v="4.8"/>
    <n v="1165.58"/>
  </r>
  <r>
    <n v="10092"/>
    <x v="91"/>
    <x v="3"/>
    <x v="1"/>
    <x v="2"/>
    <n v="5"/>
    <n v="109.15"/>
    <n v="0.2"/>
    <x v="1"/>
    <n v="3.1"/>
    <n v="436.6"/>
  </r>
  <r>
    <n v="10093"/>
    <x v="92"/>
    <x v="3"/>
    <x v="0"/>
    <x v="2"/>
    <n v="4"/>
    <n v="121.03"/>
    <n v="0.06"/>
    <x v="0"/>
    <n v="1.6"/>
    <n v="455.07"/>
  </r>
  <r>
    <n v="10094"/>
    <x v="93"/>
    <x v="3"/>
    <x v="2"/>
    <x v="3"/>
    <n v="3"/>
    <n v="345.84"/>
    <n v="0.23"/>
    <x v="0"/>
    <n v="1.6"/>
    <n v="798.89"/>
  </r>
  <r>
    <n v="10095"/>
    <x v="94"/>
    <x v="3"/>
    <x v="3"/>
    <x v="2"/>
    <n v="2"/>
    <n v="387.82"/>
    <n v="0.35"/>
    <x v="2"/>
    <n v="3.4"/>
    <n v="504.17"/>
  </r>
  <r>
    <n v="10096"/>
    <x v="95"/>
    <x v="3"/>
    <x v="1"/>
    <x v="2"/>
    <n v="1"/>
    <n v="447.56"/>
    <n v="0.28999999999999998"/>
    <x v="1"/>
    <n v="4.3"/>
    <n v="317.77"/>
  </r>
  <r>
    <n v="10097"/>
    <x v="96"/>
    <x v="3"/>
    <x v="2"/>
    <x v="3"/>
    <n v="7"/>
    <n v="120.91"/>
    <n v="0.26"/>
    <x v="2"/>
    <n v="4"/>
    <n v="626.30999999999995"/>
  </r>
  <r>
    <n v="10098"/>
    <x v="97"/>
    <x v="3"/>
    <x v="2"/>
    <x v="3"/>
    <n v="6"/>
    <n v="576.02"/>
    <n v="7.0000000000000007E-2"/>
    <x v="1"/>
    <n v="3.6"/>
    <n v="3214.19"/>
  </r>
  <r>
    <n v="10099"/>
    <x v="98"/>
    <x v="3"/>
    <x v="3"/>
    <x v="2"/>
    <n v="3"/>
    <n v="388.66"/>
    <n v="0.31"/>
    <x v="1"/>
    <n v="1.7"/>
    <n v="804.53"/>
  </r>
  <r>
    <n v="10100"/>
    <x v="99"/>
    <x v="3"/>
    <x v="3"/>
    <x v="1"/>
    <n v="7"/>
    <n v="510.52"/>
    <n v="0.18"/>
    <x v="2"/>
    <n v="1.4"/>
    <n v="2930.38"/>
  </r>
  <r>
    <n v="10101"/>
    <x v="100"/>
    <x v="3"/>
    <x v="2"/>
    <x v="3"/>
    <n v="7"/>
    <n v="330.94"/>
    <n v="0.31"/>
    <x v="1"/>
    <n v="1"/>
    <n v="1598.44"/>
  </r>
  <r>
    <n v="10102"/>
    <x v="101"/>
    <x v="3"/>
    <x v="1"/>
    <x v="3"/>
    <n v="5"/>
    <n v="257.35000000000002"/>
    <n v="0.12"/>
    <x v="1"/>
    <n v="1.4"/>
    <n v="1132.3399999999999"/>
  </r>
  <r>
    <n v="10103"/>
    <x v="102"/>
    <x v="3"/>
    <x v="1"/>
    <x v="2"/>
    <n v="6"/>
    <n v="586.65"/>
    <n v="0.02"/>
    <x v="2"/>
    <n v="4.0999999999999996"/>
    <n v="3449.5"/>
  </r>
  <r>
    <n v="10104"/>
    <x v="103"/>
    <x v="3"/>
    <x v="3"/>
    <x v="2"/>
    <n v="2"/>
    <n v="355.54"/>
    <n v="0.17"/>
    <x v="2"/>
    <n v="4.5999999999999996"/>
    <n v="590.20000000000005"/>
  </r>
  <r>
    <n v="10105"/>
    <x v="104"/>
    <x v="3"/>
    <x v="2"/>
    <x v="3"/>
    <n v="6"/>
    <n v="522.12"/>
    <n v="0.09"/>
    <x v="1"/>
    <n v="2"/>
    <n v="2850.78"/>
  </r>
  <r>
    <n v="10106"/>
    <x v="105"/>
    <x v="3"/>
    <x v="0"/>
    <x v="2"/>
    <n v="6"/>
    <n v="572.67999999999995"/>
    <n v="0.25"/>
    <x v="1"/>
    <n v="4.2"/>
    <n v="2577.06"/>
  </r>
  <r>
    <n v="10107"/>
    <x v="106"/>
    <x v="3"/>
    <x v="2"/>
    <x v="3"/>
    <n v="1"/>
    <n v="410.08"/>
    <n v="0.33"/>
    <x v="1"/>
    <n v="1.8"/>
    <n v="274.75"/>
  </r>
  <r>
    <n v="10108"/>
    <x v="107"/>
    <x v="3"/>
    <x v="1"/>
    <x v="1"/>
    <n v="4"/>
    <n v="336.13"/>
    <n v="0.24"/>
    <x v="1"/>
    <n v="2"/>
    <n v="1021.84"/>
  </r>
  <r>
    <n v="10109"/>
    <x v="108"/>
    <x v="3"/>
    <x v="2"/>
    <x v="1"/>
    <n v="7"/>
    <n v="17.05"/>
    <n v="0.31"/>
    <x v="2"/>
    <n v="1.9"/>
    <n v="82.35"/>
  </r>
  <r>
    <n v="10110"/>
    <x v="109"/>
    <x v="3"/>
    <x v="2"/>
    <x v="3"/>
    <n v="2"/>
    <n v="38.409999999999997"/>
    <n v="0.16"/>
    <x v="2"/>
    <n v="1.2"/>
    <n v="64.53"/>
  </r>
  <r>
    <n v="10111"/>
    <x v="110"/>
    <x v="3"/>
    <x v="1"/>
    <x v="3"/>
    <n v="1"/>
    <n v="132.5"/>
    <n v="0.27"/>
    <x v="2"/>
    <n v="1.8"/>
    <n v="96.72"/>
  </r>
  <r>
    <n v="10112"/>
    <x v="111"/>
    <x v="3"/>
    <x v="2"/>
    <x v="0"/>
    <n v="7"/>
    <n v="123.81"/>
    <n v="0.3"/>
    <x v="1"/>
    <n v="2.5"/>
    <n v="606.66999999999996"/>
  </r>
  <r>
    <n v="10113"/>
    <x v="112"/>
    <x v="3"/>
    <x v="3"/>
    <x v="0"/>
    <n v="4"/>
    <n v="164.03"/>
    <n v="0.25"/>
    <x v="1"/>
    <n v="2.6"/>
    <n v="492.09"/>
  </r>
  <r>
    <n v="10114"/>
    <x v="113"/>
    <x v="3"/>
    <x v="2"/>
    <x v="2"/>
    <n v="1"/>
    <n v="193.39"/>
    <n v="0.18"/>
    <x v="1"/>
    <n v="2.2000000000000002"/>
    <n v="158.58000000000001"/>
  </r>
  <r>
    <n v="10115"/>
    <x v="114"/>
    <x v="3"/>
    <x v="1"/>
    <x v="2"/>
    <n v="4"/>
    <n v="225.64"/>
    <n v="0.22"/>
    <x v="1"/>
    <n v="3.1"/>
    <n v="704"/>
  </r>
  <r>
    <n v="10116"/>
    <x v="115"/>
    <x v="3"/>
    <x v="2"/>
    <x v="3"/>
    <n v="4"/>
    <n v="261.01"/>
    <n v="0.25"/>
    <x v="1"/>
    <n v="2.5"/>
    <n v="783.03"/>
  </r>
  <r>
    <n v="10117"/>
    <x v="116"/>
    <x v="3"/>
    <x v="2"/>
    <x v="3"/>
    <n v="4"/>
    <n v="72.84"/>
    <n v="0.09"/>
    <x v="1"/>
    <n v="4.9000000000000004"/>
    <n v="265.14"/>
  </r>
  <r>
    <n v="10118"/>
    <x v="117"/>
    <x v="3"/>
    <x v="2"/>
    <x v="0"/>
    <n v="1"/>
    <n v="39.78"/>
    <n v="0.28000000000000003"/>
    <x v="1"/>
    <n v="4.2"/>
    <n v="28.64"/>
  </r>
  <r>
    <n v="10119"/>
    <x v="118"/>
    <x v="3"/>
    <x v="1"/>
    <x v="0"/>
    <n v="6"/>
    <n v="409.26"/>
    <n v="0.33"/>
    <x v="2"/>
    <n v="4.7"/>
    <n v="1645.23"/>
  </r>
  <r>
    <n v="10120"/>
    <x v="119"/>
    <x v="3"/>
    <x v="1"/>
    <x v="3"/>
    <n v="4"/>
    <n v="329.34"/>
    <n v="0.16"/>
    <x v="2"/>
    <n v="3.2"/>
    <n v="1106.58"/>
  </r>
  <r>
    <n v="10121"/>
    <x v="120"/>
    <x v="4"/>
    <x v="1"/>
    <x v="1"/>
    <n v="6"/>
    <n v="274.82"/>
    <n v="0.25"/>
    <x v="2"/>
    <n v="3.7"/>
    <n v="1236.69"/>
  </r>
  <r>
    <n v="10122"/>
    <x v="121"/>
    <x v="4"/>
    <x v="1"/>
    <x v="1"/>
    <n v="7"/>
    <n v="386.15"/>
    <n v="0.26"/>
    <x v="1"/>
    <n v="1.7"/>
    <n v="2000.26"/>
  </r>
  <r>
    <n v="10123"/>
    <x v="122"/>
    <x v="4"/>
    <x v="1"/>
    <x v="2"/>
    <n v="7"/>
    <n v="499.19"/>
    <n v="0.23"/>
    <x v="0"/>
    <n v="4"/>
    <n v="2690.63"/>
  </r>
  <r>
    <n v="10124"/>
    <x v="123"/>
    <x v="4"/>
    <x v="2"/>
    <x v="3"/>
    <n v="2"/>
    <n v="265.2"/>
    <n v="0.19"/>
    <x v="0"/>
    <n v="1.9"/>
    <n v="429.62"/>
  </r>
  <r>
    <n v="10125"/>
    <x v="124"/>
    <x v="4"/>
    <x v="1"/>
    <x v="3"/>
    <n v="5"/>
    <n v="390.05"/>
    <n v="0.31"/>
    <x v="1"/>
    <n v="1.6"/>
    <n v="1345.67"/>
  </r>
  <r>
    <n v="10126"/>
    <x v="125"/>
    <x v="4"/>
    <x v="0"/>
    <x v="2"/>
    <n v="6"/>
    <n v="572.84"/>
    <n v="0.16"/>
    <x v="2"/>
    <n v="1.2"/>
    <n v="2887.11"/>
  </r>
  <r>
    <n v="10127"/>
    <x v="126"/>
    <x v="4"/>
    <x v="1"/>
    <x v="0"/>
    <n v="7"/>
    <n v="506.18"/>
    <n v="0.02"/>
    <x v="0"/>
    <n v="2.9"/>
    <n v="3472.39"/>
  </r>
  <r>
    <n v="10128"/>
    <x v="127"/>
    <x v="4"/>
    <x v="3"/>
    <x v="0"/>
    <n v="5"/>
    <n v="264.20999999999998"/>
    <n v="0.3"/>
    <x v="2"/>
    <n v="2.1"/>
    <n v="924.73"/>
  </r>
  <r>
    <n v="10129"/>
    <x v="128"/>
    <x v="4"/>
    <x v="2"/>
    <x v="1"/>
    <n v="4"/>
    <n v="392.16"/>
    <n v="0.24"/>
    <x v="1"/>
    <n v="4.9000000000000004"/>
    <n v="1192.17"/>
  </r>
  <r>
    <n v="10130"/>
    <x v="129"/>
    <x v="4"/>
    <x v="3"/>
    <x v="3"/>
    <n v="5"/>
    <n v="118.59"/>
    <n v="0.3"/>
    <x v="2"/>
    <n v="2"/>
    <n v="415.06"/>
  </r>
  <r>
    <n v="10131"/>
    <x v="130"/>
    <x v="4"/>
    <x v="3"/>
    <x v="0"/>
    <n v="5"/>
    <n v="342.91"/>
    <n v="0.05"/>
    <x v="2"/>
    <n v="4.5"/>
    <n v="1628.82"/>
  </r>
  <r>
    <n v="10132"/>
    <x v="131"/>
    <x v="4"/>
    <x v="1"/>
    <x v="1"/>
    <n v="4"/>
    <n v="589.08000000000004"/>
    <n v="0.01"/>
    <x v="1"/>
    <n v="2.2999999999999998"/>
    <n v="2332.7600000000002"/>
  </r>
  <r>
    <n v="10133"/>
    <x v="132"/>
    <x v="4"/>
    <x v="0"/>
    <x v="1"/>
    <n v="6"/>
    <n v="318.20999999999998"/>
    <n v="0.33"/>
    <x v="0"/>
    <n v="4"/>
    <n v="1279.2"/>
  </r>
  <r>
    <n v="10134"/>
    <x v="133"/>
    <x v="4"/>
    <x v="2"/>
    <x v="1"/>
    <n v="4"/>
    <n v="557.66999999999996"/>
    <n v="0.05"/>
    <x v="2"/>
    <n v="3.6"/>
    <n v="2119.15"/>
  </r>
  <r>
    <n v="10135"/>
    <x v="134"/>
    <x v="4"/>
    <x v="2"/>
    <x v="0"/>
    <n v="2"/>
    <n v="253.29"/>
    <n v="0.28000000000000003"/>
    <x v="1"/>
    <n v="3.2"/>
    <n v="364.74"/>
  </r>
  <r>
    <n v="10136"/>
    <x v="135"/>
    <x v="4"/>
    <x v="3"/>
    <x v="0"/>
    <n v="3"/>
    <n v="599.32000000000005"/>
    <n v="0.28999999999999998"/>
    <x v="2"/>
    <n v="2.7"/>
    <n v="1276.55"/>
  </r>
  <r>
    <n v="10137"/>
    <x v="136"/>
    <x v="4"/>
    <x v="3"/>
    <x v="3"/>
    <n v="1"/>
    <n v="353.84"/>
    <n v="0.25"/>
    <x v="2"/>
    <n v="3.7"/>
    <n v="265.38"/>
  </r>
  <r>
    <n v="10138"/>
    <x v="137"/>
    <x v="4"/>
    <x v="2"/>
    <x v="3"/>
    <n v="4"/>
    <n v="39.729999999999997"/>
    <n v="0.05"/>
    <x v="1"/>
    <n v="2.6"/>
    <n v="150.97"/>
  </r>
  <r>
    <n v="10139"/>
    <x v="138"/>
    <x v="4"/>
    <x v="2"/>
    <x v="1"/>
    <n v="4"/>
    <n v="358.25"/>
    <n v="0.23"/>
    <x v="1"/>
    <n v="3.2"/>
    <n v="1103.4100000000001"/>
  </r>
  <r>
    <n v="10140"/>
    <x v="139"/>
    <x v="4"/>
    <x v="2"/>
    <x v="1"/>
    <n v="5"/>
    <n v="175.63"/>
    <n v="0.31"/>
    <x v="0"/>
    <n v="3.4"/>
    <n v="605.91999999999996"/>
  </r>
  <r>
    <n v="10141"/>
    <x v="140"/>
    <x v="4"/>
    <x v="2"/>
    <x v="0"/>
    <n v="2"/>
    <n v="34"/>
    <n v="0.15"/>
    <x v="2"/>
    <n v="2.1"/>
    <n v="57.8"/>
  </r>
  <r>
    <n v="10142"/>
    <x v="141"/>
    <x v="4"/>
    <x v="3"/>
    <x v="0"/>
    <n v="7"/>
    <n v="495.2"/>
    <n v="0.14000000000000001"/>
    <x v="1"/>
    <n v="2.4"/>
    <n v="2981.1"/>
  </r>
  <r>
    <n v="10143"/>
    <x v="142"/>
    <x v="4"/>
    <x v="1"/>
    <x v="3"/>
    <n v="7"/>
    <n v="176.3"/>
    <n v="0.16"/>
    <x v="1"/>
    <n v="1.1000000000000001"/>
    <n v="1036.6400000000001"/>
  </r>
  <r>
    <n v="10144"/>
    <x v="143"/>
    <x v="4"/>
    <x v="2"/>
    <x v="3"/>
    <n v="5"/>
    <n v="480.98"/>
    <n v="0.03"/>
    <x v="2"/>
    <n v="4.4000000000000004"/>
    <n v="2332.75"/>
  </r>
  <r>
    <n v="10145"/>
    <x v="144"/>
    <x v="4"/>
    <x v="1"/>
    <x v="2"/>
    <n v="6"/>
    <n v="183.61"/>
    <n v="0.31"/>
    <x v="2"/>
    <n v="4"/>
    <n v="760.15"/>
  </r>
  <r>
    <n v="10146"/>
    <x v="145"/>
    <x v="4"/>
    <x v="2"/>
    <x v="3"/>
    <n v="4"/>
    <n v="128.68"/>
    <n v="0.3"/>
    <x v="1"/>
    <n v="1.7"/>
    <n v="360.3"/>
  </r>
  <r>
    <n v="10147"/>
    <x v="146"/>
    <x v="4"/>
    <x v="2"/>
    <x v="0"/>
    <n v="4"/>
    <n v="584.75"/>
    <n v="0.35"/>
    <x v="2"/>
    <n v="2.4"/>
    <n v="1520.35"/>
  </r>
  <r>
    <n v="10148"/>
    <x v="147"/>
    <x v="4"/>
    <x v="1"/>
    <x v="1"/>
    <n v="5"/>
    <n v="226.56"/>
    <n v="0.2"/>
    <x v="1"/>
    <n v="2.7"/>
    <n v="906.24"/>
  </r>
  <r>
    <n v="10149"/>
    <x v="148"/>
    <x v="4"/>
    <x v="0"/>
    <x v="2"/>
    <n v="4"/>
    <n v="366.81"/>
    <n v="0.26"/>
    <x v="1"/>
    <n v="2.2999999999999998"/>
    <n v="1085.76"/>
  </r>
  <r>
    <n v="10150"/>
    <x v="149"/>
    <x v="4"/>
    <x v="3"/>
    <x v="3"/>
    <n v="6"/>
    <n v="371.84"/>
    <n v="7.0000000000000007E-2"/>
    <x v="2"/>
    <n v="4.2"/>
    <n v="2074.87"/>
  </r>
  <r>
    <n v="10151"/>
    <x v="150"/>
    <x v="4"/>
    <x v="2"/>
    <x v="3"/>
    <n v="3"/>
    <n v="342.88"/>
    <n v="0.23"/>
    <x v="1"/>
    <n v="3.9"/>
    <n v="792.05"/>
  </r>
  <r>
    <n v="10152"/>
    <x v="151"/>
    <x v="5"/>
    <x v="0"/>
    <x v="0"/>
    <n v="1"/>
    <n v="550.1"/>
    <n v="0.23"/>
    <x v="0"/>
    <n v="4.0999999999999996"/>
    <n v="423.58"/>
  </r>
  <r>
    <n v="10153"/>
    <x v="152"/>
    <x v="5"/>
    <x v="3"/>
    <x v="2"/>
    <n v="1"/>
    <n v="409.55"/>
    <n v="0.32"/>
    <x v="1"/>
    <n v="4.5999999999999996"/>
    <n v="278.49"/>
  </r>
  <r>
    <n v="10154"/>
    <x v="153"/>
    <x v="5"/>
    <x v="3"/>
    <x v="3"/>
    <n v="1"/>
    <n v="251.18"/>
    <n v="0.28999999999999998"/>
    <x v="2"/>
    <n v="3.4"/>
    <n v="178.34"/>
  </r>
  <r>
    <n v="10155"/>
    <x v="154"/>
    <x v="5"/>
    <x v="1"/>
    <x v="1"/>
    <n v="3"/>
    <n v="519.49"/>
    <n v="0.33"/>
    <x v="1"/>
    <n v="3.5"/>
    <n v="1044.17"/>
  </r>
  <r>
    <n v="10156"/>
    <x v="155"/>
    <x v="5"/>
    <x v="1"/>
    <x v="0"/>
    <n v="4"/>
    <n v="120.92"/>
    <n v="0.3"/>
    <x v="1"/>
    <n v="3.9"/>
    <n v="338.58"/>
  </r>
  <r>
    <n v="10157"/>
    <x v="156"/>
    <x v="5"/>
    <x v="2"/>
    <x v="2"/>
    <n v="5"/>
    <n v="333.38"/>
    <n v="0.3"/>
    <x v="2"/>
    <n v="3.7"/>
    <n v="1166.83"/>
  </r>
  <r>
    <n v="10158"/>
    <x v="157"/>
    <x v="5"/>
    <x v="2"/>
    <x v="3"/>
    <n v="7"/>
    <n v="571.07000000000005"/>
    <n v="0.02"/>
    <x v="2"/>
    <n v="4.5"/>
    <n v="3917.54"/>
  </r>
  <r>
    <n v="10159"/>
    <x v="158"/>
    <x v="5"/>
    <x v="2"/>
    <x v="3"/>
    <n v="2"/>
    <n v="380.86"/>
    <n v="0.3"/>
    <x v="2"/>
    <n v="4.0999999999999996"/>
    <n v="533.20000000000005"/>
  </r>
  <r>
    <n v="10160"/>
    <x v="159"/>
    <x v="5"/>
    <x v="2"/>
    <x v="2"/>
    <n v="4"/>
    <n v="492.93"/>
    <n v="0.21"/>
    <x v="2"/>
    <n v="1.5"/>
    <n v="1557.66"/>
  </r>
  <r>
    <n v="10161"/>
    <x v="160"/>
    <x v="5"/>
    <x v="1"/>
    <x v="0"/>
    <n v="3"/>
    <n v="397.33"/>
    <n v="0.13"/>
    <x v="2"/>
    <n v="4.7"/>
    <n v="1037.03"/>
  </r>
  <r>
    <n v="10162"/>
    <x v="161"/>
    <x v="5"/>
    <x v="3"/>
    <x v="2"/>
    <n v="6"/>
    <n v="506.03"/>
    <n v="0.02"/>
    <x v="2"/>
    <n v="3.7"/>
    <n v="2975.46"/>
  </r>
  <r>
    <n v="10163"/>
    <x v="162"/>
    <x v="5"/>
    <x v="1"/>
    <x v="2"/>
    <n v="3"/>
    <n v="567.53"/>
    <n v="0.24"/>
    <x v="2"/>
    <n v="1.5"/>
    <n v="1293.97"/>
  </r>
  <r>
    <n v="10164"/>
    <x v="163"/>
    <x v="5"/>
    <x v="2"/>
    <x v="0"/>
    <n v="7"/>
    <n v="174.66"/>
    <n v="0.11"/>
    <x v="2"/>
    <n v="4.0999999999999996"/>
    <n v="1088.1300000000001"/>
  </r>
  <r>
    <n v="10165"/>
    <x v="164"/>
    <x v="5"/>
    <x v="0"/>
    <x v="3"/>
    <n v="1"/>
    <n v="114.25"/>
    <n v="0.16"/>
    <x v="2"/>
    <n v="2.4"/>
    <n v="95.97"/>
  </r>
  <r>
    <n v="10166"/>
    <x v="165"/>
    <x v="5"/>
    <x v="0"/>
    <x v="1"/>
    <n v="4"/>
    <n v="298.13"/>
    <n v="0.24"/>
    <x v="0"/>
    <n v="4.2"/>
    <n v="906.32"/>
  </r>
  <r>
    <n v="10167"/>
    <x v="166"/>
    <x v="5"/>
    <x v="3"/>
    <x v="0"/>
    <n v="7"/>
    <n v="425.59"/>
    <n v="0.32"/>
    <x v="1"/>
    <n v="4.8"/>
    <n v="2025.81"/>
  </r>
  <r>
    <n v="10168"/>
    <x v="167"/>
    <x v="5"/>
    <x v="0"/>
    <x v="1"/>
    <n v="1"/>
    <n v="147.91"/>
    <n v="0.28999999999999998"/>
    <x v="2"/>
    <n v="2"/>
    <n v="105.02"/>
  </r>
  <r>
    <n v="10169"/>
    <x v="168"/>
    <x v="5"/>
    <x v="1"/>
    <x v="3"/>
    <n v="2"/>
    <n v="17.399999999999999"/>
    <n v="0.16"/>
    <x v="1"/>
    <n v="4.4000000000000004"/>
    <n v="29.23"/>
  </r>
  <r>
    <n v="10170"/>
    <x v="169"/>
    <x v="5"/>
    <x v="0"/>
    <x v="2"/>
    <n v="6"/>
    <n v="215.62"/>
    <n v="0.14000000000000001"/>
    <x v="1"/>
    <n v="4.0999999999999996"/>
    <n v="1112.5999999999999"/>
  </r>
  <r>
    <n v="10171"/>
    <x v="170"/>
    <x v="5"/>
    <x v="2"/>
    <x v="1"/>
    <n v="1"/>
    <n v="581.78"/>
    <n v="0.08"/>
    <x v="1"/>
    <n v="3.7"/>
    <n v="535.24"/>
  </r>
  <r>
    <n v="10172"/>
    <x v="171"/>
    <x v="5"/>
    <x v="1"/>
    <x v="3"/>
    <n v="2"/>
    <n v="421.56"/>
    <n v="0.13"/>
    <x v="0"/>
    <n v="2.5"/>
    <n v="733.51"/>
  </r>
  <r>
    <n v="10173"/>
    <x v="172"/>
    <x v="5"/>
    <x v="2"/>
    <x v="3"/>
    <n v="3"/>
    <n v="249.78"/>
    <n v="0.04"/>
    <x v="2"/>
    <n v="1.4"/>
    <n v="719.37"/>
  </r>
  <r>
    <n v="10174"/>
    <x v="173"/>
    <x v="5"/>
    <x v="2"/>
    <x v="2"/>
    <n v="1"/>
    <n v="127.66"/>
    <n v="0.34"/>
    <x v="2"/>
    <n v="2.9"/>
    <n v="84.26"/>
  </r>
  <r>
    <n v="10175"/>
    <x v="174"/>
    <x v="5"/>
    <x v="2"/>
    <x v="2"/>
    <n v="1"/>
    <n v="223.31"/>
    <n v="0.2"/>
    <x v="1"/>
    <n v="1.4"/>
    <n v="178.65"/>
  </r>
  <r>
    <n v="10176"/>
    <x v="175"/>
    <x v="5"/>
    <x v="1"/>
    <x v="3"/>
    <n v="5"/>
    <n v="114.36"/>
    <n v="0.04"/>
    <x v="2"/>
    <n v="3"/>
    <n v="548.92999999999995"/>
  </r>
  <r>
    <n v="10177"/>
    <x v="176"/>
    <x v="5"/>
    <x v="3"/>
    <x v="3"/>
    <n v="6"/>
    <n v="77.19"/>
    <n v="0.12"/>
    <x v="0"/>
    <n v="4.3"/>
    <n v="407.56"/>
  </r>
  <r>
    <n v="10178"/>
    <x v="177"/>
    <x v="5"/>
    <x v="1"/>
    <x v="1"/>
    <n v="6"/>
    <n v="545.44000000000005"/>
    <n v="0.19"/>
    <x v="1"/>
    <n v="5"/>
    <n v="2650.84"/>
  </r>
  <r>
    <n v="10179"/>
    <x v="178"/>
    <x v="5"/>
    <x v="2"/>
    <x v="3"/>
    <n v="7"/>
    <n v="598.63"/>
    <n v="0.19"/>
    <x v="1"/>
    <n v="1.8"/>
    <n v="3394.23"/>
  </r>
  <r>
    <n v="10180"/>
    <x v="179"/>
    <x v="5"/>
    <x v="3"/>
    <x v="3"/>
    <n v="3"/>
    <n v="111.01"/>
    <n v="0.01"/>
    <x v="1"/>
    <n v="1.8"/>
    <n v="329.7"/>
  </r>
  <r>
    <n v="10181"/>
    <x v="180"/>
    <x v="5"/>
    <x v="1"/>
    <x v="1"/>
    <n v="5"/>
    <n v="46.9"/>
    <n v="0.33"/>
    <x v="2"/>
    <n v="4.2"/>
    <n v="157.11000000000001"/>
  </r>
  <r>
    <n v="10182"/>
    <x v="181"/>
    <x v="6"/>
    <x v="1"/>
    <x v="0"/>
    <n v="7"/>
    <n v="207.89"/>
    <n v="0.1"/>
    <x v="2"/>
    <n v="2.9"/>
    <n v="1309.71"/>
  </r>
  <r>
    <n v="10183"/>
    <x v="182"/>
    <x v="6"/>
    <x v="3"/>
    <x v="1"/>
    <n v="2"/>
    <n v="285.07"/>
    <n v="0.01"/>
    <x v="2"/>
    <n v="4.7"/>
    <n v="564.44000000000005"/>
  </r>
  <r>
    <n v="10184"/>
    <x v="183"/>
    <x v="6"/>
    <x v="2"/>
    <x v="1"/>
    <n v="7"/>
    <n v="134.82"/>
    <n v="0.03"/>
    <x v="2"/>
    <n v="4.0999999999999996"/>
    <n v="915.43"/>
  </r>
  <r>
    <n v="10185"/>
    <x v="184"/>
    <x v="6"/>
    <x v="2"/>
    <x v="2"/>
    <n v="2"/>
    <n v="191.33"/>
    <n v="0.2"/>
    <x v="1"/>
    <n v="3.9"/>
    <n v="306.13"/>
  </r>
  <r>
    <n v="10186"/>
    <x v="185"/>
    <x v="6"/>
    <x v="0"/>
    <x v="1"/>
    <n v="3"/>
    <n v="132.51"/>
    <n v="0.05"/>
    <x v="2"/>
    <n v="1.4"/>
    <n v="377.65"/>
  </r>
  <r>
    <n v="10187"/>
    <x v="186"/>
    <x v="6"/>
    <x v="2"/>
    <x v="3"/>
    <n v="6"/>
    <n v="467.94"/>
    <n v="0.01"/>
    <x v="1"/>
    <n v="1.1000000000000001"/>
    <n v="2779.56"/>
  </r>
  <r>
    <n v="10188"/>
    <x v="187"/>
    <x v="6"/>
    <x v="1"/>
    <x v="3"/>
    <n v="2"/>
    <n v="431.86"/>
    <n v="0.13"/>
    <x v="1"/>
    <n v="2.2999999999999998"/>
    <n v="751.44"/>
  </r>
  <r>
    <n v="10189"/>
    <x v="188"/>
    <x v="6"/>
    <x v="0"/>
    <x v="3"/>
    <n v="3"/>
    <n v="386.45"/>
    <n v="0.22"/>
    <x v="2"/>
    <n v="1.9"/>
    <n v="904.29"/>
  </r>
  <r>
    <n v="10190"/>
    <x v="189"/>
    <x v="6"/>
    <x v="3"/>
    <x v="0"/>
    <n v="7"/>
    <n v="241.52"/>
    <n v="0.04"/>
    <x v="0"/>
    <n v="3.8"/>
    <n v="1623.01"/>
  </r>
  <r>
    <n v="10191"/>
    <x v="190"/>
    <x v="6"/>
    <x v="2"/>
    <x v="3"/>
    <n v="2"/>
    <n v="546.79"/>
    <n v="0.11"/>
    <x v="2"/>
    <n v="2.8"/>
    <n v="973.29"/>
  </r>
  <r>
    <n v="10192"/>
    <x v="191"/>
    <x v="6"/>
    <x v="2"/>
    <x v="0"/>
    <n v="4"/>
    <n v="582.17999999999995"/>
    <n v="0.15"/>
    <x v="2"/>
    <n v="3.1"/>
    <n v="1979.41"/>
  </r>
  <r>
    <n v="10193"/>
    <x v="192"/>
    <x v="6"/>
    <x v="2"/>
    <x v="3"/>
    <n v="1"/>
    <n v="116.58"/>
    <n v="0.06"/>
    <x v="1"/>
    <n v="4.3"/>
    <n v="109.59"/>
  </r>
  <r>
    <n v="10194"/>
    <x v="193"/>
    <x v="6"/>
    <x v="1"/>
    <x v="1"/>
    <n v="7"/>
    <n v="145.46"/>
    <n v="0.18"/>
    <x v="1"/>
    <n v="2.9"/>
    <n v="834.94"/>
  </r>
  <r>
    <n v="10195"/>
    <x v="194"/>
    <x v="6"/>
    <x v="1"/>
    <x v="2"/>
    <n v="6"/>
    <n v="322.49"/>
    <n v="0.03"/>
    <x v="1"/>
    <n v="3.2"/>
    <n v="1876.89"/>
  </r>
  <r>
    <n v="10196"/>
    <x v="195"/>
    <x v="6"/>
    <x v="2"/>
    <x v="3"/>
    <n v="7"/>
    <n v="68.38"/>
    <n v="0.02"/>
    <x v="0"/>
    <n v="4.4000000000000004"/>
    <n v="469.09"/>
  </r>
  <r>
    <n v="10197"/>
    <x v="196"/>
    <x v="6"/>
    <x v="0"/>
    <x v="0"/>
    <n v="4"/>
    <n v="270.32"/>
    <n v="0.18"/>
    <x v="0"/>
    <n v="2.7"/>
    <n v="886.65"/>
  </r>
  <r>
    <n v="10198"/>
    <x v="197"/>
    <x v="6"/>
    <x v="1"/>
    <x v="0"/>
    <n v="3"/>
    <n v="355.35"/>
    <n v="0.09"/>
    <x v="0"/>
    <n v="1.3"/>
    <n v="970.11"/>
  </r>
  <r>
    <n v="10199"/>
    <x v="198"/>
    <x v="6"/>
    <x v="2"/>
    <x v="2"/>
    <n v="3"/>
    <n v="320.41000000000003"/>
    <n v="0.03"/>
    <x v="1"/>
    <n v="3.1"/>
    <n v="932.39"/>
  </r>
  <r>
    <n v="10200"/>
    <x v="199"/>
    <x v="6"/>
    <x v="1"/>
    <x v="3"/>
    <n v="7"/>
    <n v="208.58"/>
    <n v="0.15"/>
    <x v="2"/>
    <n v="3.3"/>
    <n v="1241.05"/>
  </r>
  <r>
    <n v="10201"/>
    <x v="200"/>
    <x v="6"/>
    <x v="3"/>
    <x v="1"/>
    <n v="4"/>
    <n v="332.33"/>
    <n v="0.32"/>
    <x v="2"/>
    <n v="3"/>
    <n v="903.94"/>
  </r>
  <r>
    <n v="10202"/>
    <x v="201"/>
    <x v="6"/>
    <x v="2"/>
    <x v="3"/>
    <n v="7"/>
    <n v="575.9"/>
    <n v="0.25"/>
    <x v="2"/>
    <n v="2"/>
    <n v="3023.48"/>
  </r>
  <r>
    <n v="10203"/>
    <x v="202"/>
    <x v="6"/>
    <x v="2"/>
    <x v="3"/>
    <n v="1"/>
    <n v="135.52000000000001"/>
    <n v="0.28999999999999998"/>
    <x v="2"/>
    <n v="1.9"/>
    <n v="96.22"/>
  </r>
  <r>
    <n v="10204"/>
    <x v="203"/>
    <x v="6"/>
    <x v="3"/>
    <x v="2"/>
    <n v="1"/>
    <n v="398.08"/>
    <n v="0.31"/>
    <x v="2"/>
    <n v="2.5"/>
    <n v="274.68"/>
  </r>
  <r>
    <n v="10205"/>
    <x v="204"/>
    <x v="6"/>
    <x v="1"/>
    <x v="3"/>
    <n v="5"/>
    <n v="40.39"/>
    <n v="0.34"/>
    <x v="1"/>
    <n v="1.7"/>
    <n v="133.29"/>
  </r>
  <r>
    <n v="10206"/>
    <x v="205"/>
    <x v="6"/>
    <x v="1"/>
    <x v="1"/>
    <n v="2"/>
    <n v="53.85"/>
    <n v="0.27"/>
    <x v="1"/>
    <n v="3.7"/>
    <n v="78.62"/>
  </r>
  <r>
    <n v="10207"/>
    <x v="206"/>
    <x v="6"/>
    <x v="1"/>
    <x v="0"/>
    <n v="5"/>
    <n v="337.82"/>
    <n v="0.21"/>
    <x v="1"/>
    <n v="3.5"/>
    <n v="1334.39"/>
  </r>
  <r>
    <n v="10208"/>
    <x v="207"/>
    <x v="6"/>
    <x v="2"/>
    <x v="2"/>
    <n v="1"/>
    <n v="76.39"/>
    <n v="0.13"/>
    <x v="1"/>
    <n v="3.5"/>
    <n v="66.459999999999994"/>
  </r>
  <r>
    <n v="10209"/>
    <x v="208"/>
    <x v="6"/>
    <x v="2"/>
    <x v="1"/>
    <n v="4"/>
    <n v="28.07"/>
    <n v="0.06"/>
    <x v="1"/>
    <n v="1.9"/>
    <n v="105.54"/>
  </r>
  <r>
    <n v="10210"/>
    <x v="209"/>
    <x v="6"/>
    <x v="1"/>
    <x v="0"/>
    <n v="2"/>
    <n v="115.34"/>
    <n v="0.24"/>
    <x v="1"/>
    <n v="2"/>
    <n v="175.32"/>
  </r>
  <r>
    <n v="10211"/>
    <x v="210"/>
    <x v="6"/>
    <x v="2"/>
    <x v="2"/>
    <n v="4"/>
    <n v="345.44"/>
    <n v="0.35"/>
    <x v="1"/>
    <n v="4.0999999999999996"/>
    <n v="898.14"/>
  </r>
  <r>
    <n v="10212"/>
    <x v="211"/>
    <x v="6"/>
    <x v="2"/>
    <x v="2"/>
    <n v="5"/>
    <n v="426.45"/>
    <n v="0.16"/>
    <x v="2"/>
    <n v="3.8"/>
    <n v="1791.09"/>
  </r>
  <r>
    <n v="10213"/>
    <x v="212"/>
    <x v="7"/>
    <x v="3"/>
    <x v="0"/>
    <n v="3"/>
    <n v="133.44999999999999"/>
    <n v="0.25"/>
    <x v="0"/>
    <n v="4.5"/>
    <n v="300.26"/>
  </r>
  <r>
    <n v="10214"/>
    <x v="213"/>
    <x v="7"/>
    <x v="0"/>
    <x v="0"/>
    <n v="4"/>
    <n v="405.93"/>
    <n v="0.17"/>
    <x v="0"/>
    <n v="2.6"/>
    <n v="1347.69"/>
  </r>
  <r>
    <n v="10215"/>
    <x v="214"/>
    <x v="7"/>
    <x v="3"/>
    <x v="1"/>
    <n v="5"/>
    <n v="121.75"/>
    <n v="0.15"/>
    <x v="1"/>
    <n v="3.2"/>
    <n v="517.44000000000005"/>
  </r>
  <r>
    <n v="10216"/>
    <x v="215"/>
    <x v="7"/>
    <x v="0"/>
    <x v="3"/>
    <n v="5"/>
    <n v="373.87"/>
    <n v="0.14000000000000001"/>
    <x v="1"/>
    <n v="4"/>
    <n v="1607.64"/>
  </r>
  <r>
    <n v="10217"/>
    <x v="216"/>
    <x v="7"/>
    <x v="2"/>
    <x v="3"/>
    <n v="5"/>
    <n v="256"/>
    <n v="0.18"/>
    <x v="1"/>
    <n v="4.9000000000000004"/>
    <n v="1049.5999999999999"/>
  </r>
  <r>
    <n v="10218"/>
    <x v="217"/>
    <x v="7"/>
    <x v="0"/>
    <x v="3"/>
    <n v="3"/>
    <n v="397.47"/>
    <n v="0.13"/>
    <x v="0"/>
    <n v="5"/>
    <n v="1037.4000000000001"/>
  </r>
  <r>
    <n v="10219"/>
    <x v="218"/>
    <x v="7"/>
    <x v="2"/>
    <x v="3"/>
    <n v="3"/>
    <n v="597.11"/>
    <n v="0.26"/>
    <x v="2"/>
    <n v="5"/>
    <n v="1325.58"/>
  </r>
  <r>
    <n v="10220"/>
    <x v="219"/>
    <x v="7"/>
    <x v="0"/>
    <x v="3"/>
    <n v="7"/>
    <n v="563.62"/>
    <n v="0.31"/>
    <x v="1"/>
    <n v="4.5999999999999996"/>
    <n v="2722.28"/>
  </r>
  <r>
    <n v="10221"/>
    <x v="220"/>
    <x v="7"/>
    <x v="0"/>
    <x v="1"/>
    <n v="3"/>
    <n v="17.5"/>
    <n v="0.31"/>
    <x v="0"/>
    <n v="3.6"/>
    <n v="36.22"/>
  </r>
  <r>
    <n v="10222"/>
    <x v="221"/>
    <x v="7"/>
    <x v="3"/>
    <x v="2"/>
    <n v="2"/>
    <n v="532.98"/>
    <n v="0.08"/>
    <x v="1"/>
    <n v="1"/>
    <n v="980.68"/>
  </r>
  <r>
    <n v="10223"/>
    <x v="222"/>
    <x v="7"/>
    <x v="0"/>
    <x v="1"/>
    <n v="3"/>
    <n v="53.9"/>
    <n v="0.31"/>
    <x v="0"/>
    <n v="3.8"/>
    <n v="111.57"/>
  </r>
  <r>
    <n v="10224"/>
    <x v="223"/>
    <x v="7"/>
    <x v="1"/>
    <x v="1"/>
    <n v="3"/>
    <n v="572.53"/>
    <n v="0.12"/>
    <x v="1"/>
    <n v="2"/>
    <n v="1511.48"/>
  </r>
  <r>
    <n v="10225"/>
    <x v="224"/>
    <x v="7"/>
    <x v="2"/>
    <x v="1"/>
    <n v="3"/>
    <n v="179.87"/>
    <n v="0.11"/>
    <x v="1"/>
    <n v="1.2"/>
    <n v="480.25"/>
  </r>
  <r>
    <n v="10226"/>
    <x v="225"/>
    <x v="7"/>
    <x v="1"/>
    <x v="2"/>
    <n v="4"/>
    <n v="238.49"/>
    <n v="0.25"/>
    <x v="2"/>
    <n v="3.8"/>
    <n v="715.47"/>
  </r>
  <r>
    <n v="10227"/>
    <x v="226"/>
    <x v="7"/>
    <x v="1"/>
    <x v="1"/>
    <n v="3"/>
    <n v="68.61"/>
    <n v="0.11"/>
    <x v="0"/>
    <n v="4"/>
    <n v="183.19"/>
  </r>
  <r>
    <n v="10228"/>
    <x v="227"/>
    <x v="7"/>
    <x v="2"/>
    <x v="1"/>
    <n v="2"/>
    <n v="80.680000000000007"/>
    <n v="0.02"/>
    <x v="0"/>
    <n v="3.6"/>
    <n v="158.13"/>
  </r>
  <r>
    <n v="10229"/>
    <x v="228"/>
    <x v="7"/>
    <x v="1"/>
    <x v="2"/>
    <n v="5"/>
    <n v="440.14"/>
    <n v="0.13"/>
    <x v="2"/>
    <n v="2.5"/>
    <n v="1914.61"/>
  </r>
  <r>
    <n v="10230"/>
    <x v="229"/>
    <x v="7"/>
    <x v="0"/>
    <x v="1"/>
    <n v="4"/>
    <n v="567.42999999999995"/>
    <n v="0.25"/>
    <x v="1"/>
    <n v="3"/>
    <n v="1702.29"/>
  </r>
  <r>
    <n v="10231"/>
    <x v="230"/>
    <x v="7"/>
    <x v="2"/>
    <x v="3"/>
    <n v="1"/>
    <n v="372.29"/>
    <n v="0.11"/>
    <x v="1"/>
    <n v="4.7"/>
    <n v="331.34"/>
  </r>
  <r>
    <n v="10232"/>
    <x v="231"/>
    <x v="7"/>
    <x v="3"/>
    <x v="0"/>
    <n v="3"/>
    <n v="433.77"/>
    <n v="0.22"/>
    <x v="0"/>
    <n v="3.9"/>
    <n v="1015.02"/>
  </r>
  <r>
    <n v="10233"/>
    <x v="232"/>
    <x v="7"/>
    <x v="0"/>
    <x v="1"/>
    <n v="7"/>
    <n v="460.75"/>
    <n v="0.23"/>
    <x v="2"/>
    <n v="3"/>
    <n v="2483.44"/>
  </r>
  <r>
    <n v="10234"/>
    <x v="233"/>
    <x v="7"/>
    <x v="0"/>
    <x v="0"/>
    <n v="7"/>
    <n v="168.75"/>
    <n v="0.26"/>
    <x v="2"/>
    <n v="3.4"/>
    <n v="874.12"/>
  </r>
  <r>
    <n v="10235"/>
    <x v="234"/>
    <x v="7"/>
    <x v="0"/>
    <x v="1"/>
    <n v="5"/>
    <n v="41.46"/>
    <n v="0.31"/>
    <x v="1"/>
    <n v="4.7"/>
    <n v="143.04"/>
  </r>
  <r>
    <n v="10236"/>
    <x v="235"/>
    <x v="7"/>
    <x v="1"/>
    <x v="1"/>
    <n v="5"/>
    <n v="16.100000000000001"/>
    <n v="0.15"/>
    <x v="2"/>
    <n v="2.6"/>
    <n v="68.42"/>
  </r>
  <r>
    <n v="10237"/>
    <x v="236"/>
    <x v="7"/>
    <x v="0"/>
    <x v="3"/>
    <n v="4"/>
    <n v="220.13"/>
    <n v="0.06"/>
    <x v="1"/>
    <n v="1.4"/>
    <n v="827.69"/>
  </r>
  <r>
    <n v="10238"/>
    <x v="237"/>
    <x v="7"/>
    <x v="3"/>
    <x v="2"/>
    <n v="7"/>
    <n v="156.26"/>
    <n v="0.11"/>
    <x v="2"/>
    <n v="2.2999999999999998"/>
    <n v="973.5"/>
  </r>
  <r>
    <n v="10239"/>
    <x v="238"/>
    <x v="7"/>
    <x v="2"/>
    <x v="0"/>
    <n v="1"/>
    <n v="51.46"/>
    <n v="0.15"/>
    <x v="0"/>
    <n v="2.7"/>
    <n v="43.74"/>
  </r>
  <r>
    <n v="10240"/>
    <x v="239"/>
    <x v="7"/>
    <x v="1"/>
    <x v="2"/>
    <n v="6"/>
    <n v="120.02"/>
    <n v="0.25"/>
    <x v="2"/>
    <n v="2.1"/>
    <n v="540.09"/>
  </r>
  <r>
    <n v="10241"/>
    <x v="240"/>
    <x v="7"/>
    <x v="3"/>
    <x v="3"/>
    <n v="7"/>
    <n v="87.83"/>
    <n v="0"/>
    <x v="2"/>
    <n v="3.1"/>
    <n v="614.80999999999995"/>
  </r>
  <r>
    <n v="10242"/>
    <x v="241"/>
    <x v="7"/>
    <x v="2"/>
    <x v="3"/>
    <n v="7"/>
    <n v="550.20000000000005"/>
    <n v="0.11"/>
    <x v="1"/>
    <n v="2.2000000000000002"/>
    <n v="3427.75"/>
  </r>
  <r>
    <n v="10243"/>
    <x v="242"/>
    <x v="7"/>
    <x v="1"/>
    <x v="0"/>
    <n v="2"/>
    <n v="97.06"/>
    <n v="0.27"/>
    <x v="1"/>
    <n v="1.4"/>
    <n v="141.71"/>
  </r>
  <r>
    <n v="10244"/>
    <x v="243"/>
    <x v="8"/>
    <x v="3"/>
    <x v="2"/>
    <n v="6"/>
    <n v="329.52"/>
    <n v="0.23"/>
    <x v="0"/>
    <n v="1.8"/>
    <n v="1522.38"/>
  </r>
  <r>
    <n v="10245"/>
    <x v="244"/>
    <x v="8"/>
    <x v="2"/>
    <x v="3"/>
    <n v="5"/>
    <n v="361.97"/>
    <n v="0.26"/>
    <x v="1"/>
    <n v="4.7"/>
    <n v="1339.29"/>
  </r>
  <r>
    <n v="10246"/>
    <x v="245"/>
    <x v="8"/>
    <x v="1"/>
    <x v="1"/>
    <n v="6"/>
    <n v="332.94"/>
    <n v="0.28000000000000003"/>
    <x v="0"/>
    <n v="3.5"/>
    <n v="1438.3"/>
  </r>
  <r>
    <n v="10247"/>
    <x v="246"/>
    <x v="8"/>
    <x v="3"/>
    <x v="1"/>
    <n v="7"/>
    <n v="72.95"/>
    <n v="0.27"/>
    <x v="2"/>
    <n v="2.2999999999999998"/>
    <n v="372.77"/>
  </r>
  <r>
    <n v="10248"/>
    <x v="247"/>
    <x v="8"/>
    <x v="1"/>
    <x v="1"/>
    <n v="5"/>
    <n v="201.5"/>
    <n v="0.24"/>
    <x v="2"/>
    <n v="2.5"/>
    <n v="765.7"/>
  </r>
  <r>
    <n v="10249"/>
    <x v="248"/>
    <x v="8"/>
    <x v="2"/>
    <x v="2"/>
    <n v="6"/>
    <n v="44.99"/>
    <n v="0.15"/>
    <x v="0"/>
    <n v="3"/>
    <n v="229.45"/>
  </r>
  <r>
    <n v="10250"/>
    <x v="249"/>
    <x v="8"/>
    <x v="2"/>
    <x v="1"/>
    <n v="5"/>
    <n v="246.47"/>
    <n v="0.34"/>
    <x v="2"/>
    <n v="3.7"/>
    <n v="813.35"/>
  </r>
  <r>
    <n v="10251"/>
    <x v="250"/>
    <x v="8"/>
    <x v="1"/>
    <x v="1"/>
    <n v="5"/>
    <n v="125.33"/>
    <n v="0.2"/>
    <x v="0"/>
    <n v="3.3"/>
    <n v="501.32"/>
  </r>
  <r>
    <n v="10252"/>
    <x v="251"/>
    <x v="8"/>
    <x v="0"/>
    <x v="3"/>
    <n v="4"/>
    <n v="343.56"/>
    <n v="7.0000000000000007E-2"/>
    <x v="1"/>
    <n v="4.7"/>
    <n v="1278.04"/>
  </r>
  <r>
    <n v="10253"/>
    <x v="252"/>
    <x v="8"/>
    <x v="2"/>
    <x v="3"/>
    <n v="1"/>
    <n v="420.29"/>
    <n v="0.1"/>
    <x v="2"/>
    <n v="3.5"/>
    <n v="378.26"/>
  </r>
  <r>
    <n v="10254"/>
    <x v="253"/>
    <x v="8"/>
    <x v="1"/>
    <x v="1"/>
    <n v="5"/>
    <n v="326.29000000000002"/>
    <n v="0.24"/>
    <x v="2"/>
    <n v="4.5999999999999996"/>
    <n v="1239.9000000000001"/>
  </r>
  <r>
    <n v="10255"/>
    <x v="254"/>
    <x v="8"/>
    <x v="2"/>
    <x v="1"/>
    <n v="2"/>
    <n v="269.02999999999997"/>
    <n v="0.32"/>
    <x v="1"/>
    <n v="1"/>
    <n v="365.88"/>
  </r>
  <r>
    <n v="10256"/>
    <x v="255"/>
    <x v="8"/>
    <x v="2"/>
    <x v="3"/>
    <n v="7"/>
    <n v="241.59"/>
    <n v="0.06"/>
    <x v="2"/>
    <n v="4.5999999999999996"/>
    <n v="1589.66"/>
  </r>
  <r>
    <n v="10257"/>
    <x v="256"/>
    <x v="8"/>
    <x v="3"/>
    <x v="0"/>
    <n v="7"/>
    <n v="507.39"/>
    <n v="0.03"/>
    <x v="2"/>
    <n v="3.9"/>
    <n v="3445.18"/>
  </r>
  <r>
    <n v="10258"/>
    <x v="257"/>
    <x v="8"/>
    <x v="3"/>
    <x v="2"/>
    <n v="2"/>
    <n v="143.33000000000001"/>
    <n v="0.31"/>
    <x v="0"/>
    <n v="1.7"/>
    <n v="197.8"/>
  </r>
  <r>
    <n v="10259"/>
    <x v="258"/>
    <x v="8"/>
    <x v="2"/>
    <x v="2"/>
    <n v="3"/>
    <n v="444.52"/>
    <n v="0.32"/>
    <x v="1"/>
    <n v="2.1"/>
    <n v="906.82"/>
  </r>
  <r>
    <n v="10260"/>
    <x v="259"/>
    <x v="8"/>
    <x v="1"/>
    <x v="3"/>
    <n v="5"/>
    <n v="458.13"/>
    <n v="0.1"/>
    <x v="2"/>
    <n v="3.2"/>
    <n v="2061.58"/>
  </r>
  <r>
    <n v="10261"/>
    <x v="260"/>
    <x v="8"/>
    <x v="2"/>
    <x v="2"/>
    <n v="5"/>
    <n v="260.23"/>
    <n v="0.13"/>
    <x v="1"/>
    <n v="1.5"/>
    <n v="1132"/>
  </r>
  <r>
    <n v="10262"/>
    <x v="261"/>
    <x v="8"/>
    <x v="1"/>
    <x v="3"/>
    <n v="5"/>
    <n v="188.92"/>
    <n v="0.23"/>
    <x v="2"/>
    <n v="4.0999999999999996"/>
    <n v="727.34"/>
  </r>
  <r>
    <n v="10263"/>
    <x v="262"/>
    <x v="8"/>
    <x v="3"/>
    <x v="3"/>
    <n v="6"/>
    <n v="290.27"/>
    <n v="0.12"/>
    <x v="2"/>
    <n v="4.2"/>
    <n v="1532.63"/>
  </r>
  <r>
    <n v="10264"/>
    <x v="263"/>
    <x v="8"/>
    <x v="2"/>
    <x v="3"/>
    <n v="5"/>
    <n v="69.53"/>
    <n v="0.31"/>
    <x v="2"/>
    <n v="2.2000000000000002"/>
    <n v="239.88"/>
  </r>
  <r>
    <n v="10265"/>
    <x v="264"/>
    <x v="8"/>
    <x v="2"/>
    <x v="3"/>
    <n v="5"/>
    <n v="41.87"/>
    <n v="0.04"/>
    <x v="1"/>
    <n v="1.3"/>
    <n v="200.98"/>
  </r>
  <r>
    <n v="10266"/>
    <x v="265"/>
    <x v="8"/>
    <x v="1"/>
    <x v="0"/>
    <n v="2"/>
    <n v="80.290000000000006"/>
    <n v="0.01"/>
    <x v="1"/>
    <n v="5"/>
    <n v="158.97"/>
  </r>
  <r>
    <n v="10267"/>
    <x v="266"/>
    <x v="8"/>
    <x v="0"/>
    <x v="1"/>
    <n v="1"/>
    <n v="124.48"/>
    <n v="7.0000000000000007E-2"/>
    <x v="1"/>
    <n v="2"/>
    <n v="115.77"/>
  </r>
  <r>
    <n v="10268"/>
    <x v="267"/>
    <x v="8"/>
    <x v="0"/>
    <x v="1"/>
    <n v="1"/>
    <n v="309.94"/>
    <n v="0.1"/>
    <x v="1"/>
    <n v="1.3"/>
    <n v="278.95"/>
  </r>
  <r>
    <n v="10269"/>
    <x v="268"/>
    <x v="8"/>
    <x v="2"/>
    <x v="0"/>
    <n v="3"/>
    <n v="511.74"/>
    <n v="0.04"/>
    <x v="2"/>
    <n v="2.2999999999999998"/>
    <n v="1473.81"/>
  </r>
  <r>
    <n v="10270"/>
    <x v="269"/>
    <x v="8"/>
    <x v="3"/>
    <x v="2"/>
    <n v="2"/>
    <n v="152.85"/>
    <n v="0.02"/>
    <x v="0"/>
    <n v="4.9000000000000004"/>
    <n v="299.58999999999997"/>
  </r>
  <r>
    <n v="10271"/>
    <x v="270"/>
    <x v="8"/>
    <x v="1"/>
    <x v="2"/>
    <n v="5"/>
    <n v="562.07000000000005"/>
    <n v="0.26"/>
    <x v="1"/>
    <n v="4.2"/>
    <n v="2079.66"/>
  </r>
  <r>
    <n v="10272"/>
    <x v="271"/>
    <x v="8"/>
    <x v="1"/>
    <x v="1"/>
    <n v="1"/>
    <n v="573.62"/>
    <n v="0.06"/>
    <x v="1"/>
    <n v="2.9"/>
    <n v="539.20000000000005"/>
  </r>
  <r>
    <n v="10273"/>
    <x v="272"/>
    <x v="8"/>
    <x v="3"/>
    <x v="2"/>
    <n v="4"/>
    <n v="575.96"/>
    <n v="0.32"/>
    <x v="2"/>
    <n v="2.2000000000000002"/>
    <n v="1566.61"/>
  </r>
  <r>
    <n v="10274"/>
    <x v="273"/>
    <x v="9"/>
    <x v="0"/>
    <x v="1"/>
    <n v="4"/>
    <n v="504.97"/>
    <n v="0.13"/>
    <x v="2"/>
    <n v="2.7"/>
    <n v="1757.3"/>
  </r>
  <r>
    <n v="10275"/>
    <x v="274"/>
    <x v="9"/>
    <x v="0"/>
    <x v="1"/>
    <n v="4"/>
    <n v="227.84"/>
    <n v="0.23"/>
    <x v="1"/>
    <n v="1.1000000000000001"/>
    <n v="701.75"/>
  </r>
  <r>
    <n v="10276"/>
    <x v="275"/>
    <x v="9"/>
    <x v="1"/>
    <x v="0"/>
    <n v="5"/>
    <n v="57.52"/>
    <n v="0.08"/>
    <x v="1"/>
    <n v="3.9"/>
    <n v="264.58999999999997"/>
  </r>
  <r>
    <n v="10277"/>
    <x v="276"/>
    <x v="9"/>
    <x v="1"/>
    <x v="2"/>
    <n v="5"/>
    <n v="347.76"/>
    <n v="0.08"/>
    <x v="1"/>
    <n v="1.4"/>
    <n v="1599.7"/>
  </r>
  <r>
    <n v="10278"/>
    <x v="277"/>
    <x v="9"/>
    <x v="3"/>
    <x v="0"/>
    <n v="3"/>
    <n v="341.83"/>
    <n v="0.2"/>
    <x v="1"/>
    <n v="3.1"/>
    <n v="820.39"/>
  </r>
  <r>
    <n v="10279"/>
    <x v="278"/>
    <x v="9"/>
    <x v="2"/>
    <x v="1"/>
    <n v="7"/>
    <n v="512.24"/>
    <n v="0.2"/>
    <x v="1"/>
    <n v="3.3"/>
    <n v="2868.54"/>
  </r>
  <r>
    <n v="10280"/>
    <x v="279"/>
    <x v="9"/>
    <x v="1"/>
    <x v="1"/>
    <n v="3"/>
    <n v="597.65"/>
    <n v="0.27"/>
    <x v="1"/>
    <n v="1"/>
    <n v="1308.8499999999999"/>
  </r>
  <r>
    <n v="10281"/>
    <x v="280"/>
    <x v="9"/>
    <x v="1"/>
    <x v="1"/>
    <n v="3"/>
    <n v="312.27"/>
    <n v="0.27"/>
    <x v="2"/>
    <n v="4.9000000000000004"/>
    <n v="683.87"/>
  </r>
  <r>
    <n v="10282"/>
    <x v="281"/>
    <x v="9"/>
    <x v="3"/>
    <x v="3"/>
    <n v="6"/>
    <n v="216.94"/>
    <n v="0.23"/>
    <x v="2"/>
    <n v="2.2000000000000002"/>
    <n v="1002.26"/>
  </r>
  <r>
    <n v="10283"/>
    <x v="282"/>
    <x v="9"/>
    <x v="2"/>
    <x v="3"/>
    <n v="4"/>
    <n v="123.75"/>
    <n v="0.16"/>
    <x v="1"/>
    <n v="1.3"/>
    <n v="415.8"/>
  </r>
  <r>
    <n v="10284"/>
    <x v="283"/>
    <x v="9"/>
    <x v="2"/>
    <x v="3"/>
    <n v="5"/>
    <n v="17.809999999999999"/>
    <n v="0.31"/>
    <x v="2"/>
    <n v="4.4000000000000004"/>
    <n v="61.44"/>
  </r>
  <r>
    <n v="10285"/>
    <x v="284"/>
    <x v="9"/>
    <x v="0"/>
    <x v="0"/>
    <n v="4"/>
    <n v="312.83"/>
    <n v="0.22"/>
    <x v="2"/>
    <n v="1.6"/>
    <n v="976.03"/>
  </r>
  <r>
    <n v="10286"/>
    <x v="285"/>
    <x v="9"/>
    <x v="2"/>
    <x v="1"/>
    <n v="3"/>
    <n v="339.98"/>
    <n v="0.35"/>
    <x v="0"/>
    <n v="1.1000000000000001"/>
    <n v="662.96"/>
  </r>
  <r>
    <n v="10287"/>
    <x v="286"/>
    <x v="9"/>
    <x v="1"/>
    <x v="2"/>
    <n v="5"/>
    <n v="497.59"/>
    <n v="0.28999999999999998"/>
    <x v="1"/>
    <n v="3"/>
    <n v="1766.44"/>
  </r>
  <r>
    <n v="10288"/>
    <x v="287"/>
    <x v="9"/>
    <x v="2"/>
    <x v="0"/>
    <n v="2"/>
    <n v="310.18"/>
    <n v="0.02"/>
    <x v="2"/>
    <n v="1.5"/>
    <n v="607.95000000000005"/>
  </r>
  <r>
    <n v="10289"/>
    <x v="288"/>
    <x v="9"/>
    <x v="2"/>
    <x v="0"/>
    <n v="1"/>
    <n v="551.13"/>
    <n v="0.11"/>
    <x v="2"/>
    <n v="4.9000000000000004"/>
    <n v="490.51"/>
  </r>
  <r>
    <n v="10290"/>
    <x v="289"/>
    <x v="9"/>
    <x v="2"/>
    <x v="0"/>
    <n v="1"/>
    <n v="382.43"/>
    <n v="0.2"/>
    <x v="1"/>
    <n v="1"/>
    <n v="305.94"/>
  </r>
  <r>
    <n v="10291"/>
    <x v="290"/>
    <x v="9"/>
    <x v="2"/>
    <x v="2"/>
    <n v="3"/>
    <n v="506.6"/>
    <n v="0.25"/>
    <x v="0"/>
    <n v="1.2"/>
    <n v="1139.8499999999999"/>
  </r>
  <r>
    <n v="10292"/>
    <x v="291"/>
    <x v="9"/>
    <x v="0"/>
    <x v="1"/>
    <n v="7"/>
    <n v="101.76"/>
    <n v="0.19"/>
    <x v="2"/>
    <n v="4.3"/>
    <n v="576.98"/>
  </r>
  <r>
    <n v="10293"/>
    <x v="292"/>
    <x v="9"/>
    <x v="2"/>
    <x v="3"/>
    <n v="4"/>
    <n v="515.37"/>
    <n v="0.28000000000000003"/>
    <x v="2"/>
    <n v="2"/>
    <n v="1484.27"/>
  </r>
  <r>
    <n v="10294"/>
    <x v="293"/>
    <x v="9"/>
    <x v="0"/>
    <x v="1"/>
    <n v="2"/>
    <n v="409.96"/>
    <n v="0.1"/>
    <x v="1"/>
    <n v="4.5999999999999996"/>
    <n v="737.93"/>
  </r>
  <r>
    <n v="10295"/>
    <x v="294"/>
    <x v="9"/>
    <x v="1"/>
    <x v="1"/>
    <n v="5"/>
    <n v="114.59"/>
    <n v="0.06"/>
    <x v="1"/>
    <n v="2.2000000000000002"/>
    <n v="538.57000000000005"/>
  </r>
  <r>
    <n v="10296"/>
    <x v="295"/>
    <x v="9"/>
    <x v="1"/>
    <x v="0"/>
    <n v="7"/>
    <n v="126.01"/>
    <n v="0.02"/>
    <x v="2"/>
    <n v="1.3"/>
    <n v="864.43"/>
  </r>
  <r>
    <n v="10297"/>
    <x v="296"/>
    <x v="9"/>
    <x v="1"/>
    <x v="0"/>
    <n v="4"/>
    <n v="557"/>
    <n v="0.2"/>
    <x v="1"/>
    <n v="1"/>
    <n v="1782.4"/>
  </r>
  <r>
    <n v="10298"/>
    <x v="297"/>
    <x v="9"/>
    <x v="1"/>
    <x v="0"/>
    <n v="3"/>
    <n v="33.85"/>
    <n v="0.24"/>
    <x v="2"/>
    <n v="2.1"/>
    <n v="77.180000000000007"/>
  </r>
  <r>
    <n v="10299"/>
    <x v="298"/>
    <x v="9"/>
    <x v="3"/>
    <x v="3"/>
    <n v="4"/>
    <n v="285.58"/>
    <n v="0.11"/>
    <x v="1"/>
    <n v="2.9"/>
    <n v="1016.66"/>
  </r>
  <r>
    <n v="10300"/>
    <x v="299"/>
    <x v="9"/>
    <x v="2"/>
    <x v="3"/>
    <n v="3"/>
    <n v="198.38"/>
    <n v="0.21"/>
    <x v="2"/>
    <n v="1"/>
    <n v="470.16"/>
  </r>
  <r>
    <n v="10301"/>
    <x v="300"/>
    <x v="9"/>
    <x v="1"/>
    <x v="3"/>
    <n v="6"/>
    <n v="404.07"/>
    <n v="0.02"/>
    <x v="2"/>
    <n v="3.3"/>
    <n v="2375.9299999999998"/>
  </r>
  <r>
    <n v="10302"/>
    <x v="301"/>
    <x v="9"/>
    <x v="0"/>
    <x v="1"/>
    <n v="1"/>
    <n v="506.18"/>
    <n v="0.03"/>
    <x v="1"/>
    <n v="2.2999999999999998"/>
    <n v="490.99"/>
  </r>
  <r>
    <n v="10303"/>
    <x v="302"/>
    <x v="9"/>
    <x v="0"/>
    <x v="0"/>
    <n v="7"/>
    <n v="225.82"/>
    <n v="0.25"/>
    <x v="2"/>
    <n v="2.6"/>
    <n v="1185.56"/>
  </r>
  <r>
    <n v="10304"/>
    <x v="303"/>
    <x v="9"/>
    <x v="0"/>
    <x v="2"/>
    <n v="1"/>
    <n v="264.74"/>
    <n v="0.13"/>
    <x v="1"/>
    <n v="2"/>
    <n v="230.32"/>
  </r>
  <r>
    <n v="10305"/>
    <x v="304"/>
    <x v="10"/>
    <x v="1"/>
    <x v="1"/>
    <n v="4"/>
    <n v="589.41999999999996"/>
    <n v="0.23"/>
    <x v="1"/>
    <n v="3.1"/>
    <n v="1815.41"/>
  </r>
  <r>
    <n v="10306"/>
    <x v="305"/>
    <x v="10"/>
    <x v="3"/>
    <x v="3"/>
    <n v="2"/>
    <n v="473.59"/>
    <n v="0.28999999999999998"/>
    <x v="1"/>
    <n v="1.9"/>
    <n v="672.5"/>
  </r>
  <r>
    <n v="10307"/>
    <x v="306"/>
    <x v="10"/>
    <x v="1"/>
    <x v="2"/>
    <n v="5"/>
    <n v="539.86"/>
    <n v="0.3"/>
    <x v="1"/>
    <n v="1.5"/>
    <n v="1889.51"/>
  </r>
  <r>
    <n v="10308"/>
    <x v="307"/>
    <x v="10"/>
    <x v="1"/>
    <x v="2"/>
    <n v="3"/>
    <n v="271.68"/>
    <n v="0.06"/>
    <x v="1"/>
    <n v="4.5999999999999996"/>
    <n v="766.14"/>
  </r>
  <r>
    <n v="10309"/>
    <x v="308"/>
    <x v="10"/>
    <x v="2"/>
    <x v="0"/>
    <n v="5"/>
    <n v="151.93"/>
    <n v="0.17"/>
    <x v="0"/>
    <n v="2.6"/>
    <n v="630.51"/>
  </r>
  <r>
    <n v="10310"/>
    <x v="309"/>
    <x v="10"/>
    <x v="1"/>
    <x v="2"/>
    <n v="1"/>
    <n v="255.94"/>
    <n v="0.26"/>
    <x v="1"/>
    <n v="1.3"/>
    <n v="189.4"/>
  </r>
  <r>
    <n v="10311"/>
    <x v="310"/>
    <x v="10"/>
    <x v="2"/>
    <x v="3"/>
    <n v="2"/>
    <n v="433.91"/>
    <n v="0.27"/>
    <x v="1"/>
    <n v="1.9"/>
    <n v="633.51"/>
  </r>
  <r>
    <n v="10312"/>
    <x v="311"/>
    <x v="10"/>
    <x v="2"/>
    <x v="0"/>
    <n v="2"/>
    <n v="79.02"/>
    <n v="0.27"/>
    <x v="1"/>
    <n v="2.2000000000000002"/>
    <n v="115.37"/>
  </r>
  <r>
    <n v="10313"/>
    <x v="312"/>
    <x v="10"/>
    <x v="0"/>
    <x v="2"/>
    <n v="5"/>
    <n v="173.22"/>
    <n v="0.08"/>
    <x v="1"/>
    <n v="4.0999999999999996"/>
    <n v="796.81"/>
  </r>
  <r>
    <n v="10314"/>
    <x v="313"/>
    <x v="10"/>
    <x v="2"/>
    <x v="0"/>
    <n v="1"/>
    <n v="42.28"/>
    <n v="7.0000000000000007E-2"/>
    <x v="2"/>
    <n v="1.1000000000000001"/>
    <n v="39.32"/>
  </r>
  <r>
    <n v="10315"/>
    <x v="314"/>
    <x v="10"/>
    <x v="2"/>
    <x v="2"/>
    <n v="5"/>
    <n v="267.92"/>
    <n v="0.21"/>
    <x v="1"/>
    <n v="2.9"/>
    <n v="1058.28"/>
  </r>
  <r>
    <n v="10316"/>
    <x v="315"/>
    <x v="10"/>
    <x v="2"/>
    <x v="1"/>
    <n v="4"/>
    <n v="499.06"/>
    <n v="0.26"/>
    <x v="2"/>
    <n v="2.6"/>
    <n v="1477.22"/>
  </r>
  <r>
    <n v="10317"/>
    <x v="316"/>
    <x v="10"/>
    <x v="0"/>
    <x v="1"/>
    <n v="2"/>
    <n v="29.43"/>
    <n v="0.11"/>
    <x v="1"/>
    <n v="4.9000000000000004"/>
    <n v="52.39"/>
  </r>
  <r>
    <n v="10318"/>
    <x v="317"/>
    <x v="10"/>
    <x v="1"/>
    <x v="3"/>
    <n v="2"/>
    <n v="410.06"/>
    <n v="0.04"/>
    <x v="0"/>
    <n v="1.7"/>
    <n v="787.32"/>
  </r>
  <r>
    <n v="10319"/>
    <x v="318"/>
    <x v="10"/>
    <x v="1"/>
    <x v="1"/>
    <n v="4"/>
    <n v="560.51"/>
    <n v="0.25"/>
    <x v="1"/>
    <n v="3.5"/>
    <n v="1681.53"/>
  </r>
  <r>
    <n v="10320"/>
    <x v="319"/>
    <x v="10"/>
    <x v="3"/>
    <x v="1"/>
    <n v="1"/>
    <n v="153.6"/>
    <n v="0.1"/>
    <x v="2"/>
    <n v="1.8"/>
    <n v="138.24"/>
  </r>
  <r>
    <n v="10321"/>
    <x v="320"/>
    <x v="10"/>
    <x v="3"/>
    <x v="1"/>
    <n v="2"/>
    <n v="420.78"/>
    <n v="0.06"/>
    <x v="2"/>
    <n v="3.2"/>
    <n v="791.07"/>
  </r>
  <r>
    <n v="10322"/>
    <x v="321"/>
    <x v="10"/>
    <x v="2"/>
    <x v="2"/>
    <n v="7"/>
    <n v="585.42999999999995"/>
    <n v="0.05"/>
    <x v="1"/>
    <n v="3.2"/>
    <n v="3893.11"/>
  </r>
  <r>
    <n v="10323"/>
    <x v="322"/>
    <x v="10"/>
    <x v="3"/>
    <x v="2"/>
    <n v="6"/>
    <n v="577.92999999999995"/>
    <n v="0.11"/>
    <x v="2"/>
    <n v="1.3"/>
    <n v="3086.15"/>
  </r>
  <r>
    <n v="10324"/>
    <x v="323"/>
    <x v="10"/>
    <x v="3"/>
    <x v="0"/>
    <n v="6"/>
    <n v="152.43"/>
    <n v="0.21"/>
    <x v="2"/>
    <n v="2.8"/>
    <n v="722.52"/>
  </r>
  <r>
    <n v="10325"/>
    <x v="324"/>
    <x v="10"/>
    <x v="3"/>
    <x v="2"/>
    <n v="6"/>
    <n v="73.69"/>
    <n v="0.13"/>
    <x v="1"/>
    <n v="2.8"/>
    <n v="384.66"/>
  </r>
  <r>
    <n v="10326"/>
    <x v="325"/>
    <x v="10"/>
    <x v="2"/>
    <x v="1"/>
    <n v="3"/>
    <n v="101.75"/>
    <n v="0.01"/>
    <x v="2"/>
    <n v="2.2999999999999998"/>
    <n v="302.2"/>
  </r>
  <r>
    <n v="10327"/>
    <x v="326"/>
    <x v="10"/>
    <x v="0"/>
    <x v="2"/>
    <n v="7"/>
    <n v="425.69"/>
    <n v="0.03"/>
    <x v="0"/>
    <n v="2.1"/>
    <n v="2890.44"/>
  </r>
  <r>
    <n v="10328"/>
    <x v="327"/>
    <x v="10"/>
    <x v="1"/>
    <x v="3"/>
    <n v="3"/>
    <n v="439.57"/>
    <n v="0.1"/>
    <x v="2"/>
    <n v="1.9"/>
    <n v="1186.8399999999999"/>
  </r>
  <r>
    <n v="10329"/>
    <x v="328"/>
    <x v="10"/>
    <x v="2"/>
    <x v="0"/>
    <n v="1"/>
    <n v="409.43"/>
    <n v="0.23"/>
    <x v="0"/>
    <n v="1"/>
    <n v="315.26"/>
  </r>
  <r>
    <n v="10330"/>
    <x v="329"/>
    <x v="10"/>
    <x v="1"/>
    <x v="0"/>
    <n v="4"/>
    <n v="211.61"/>
    <n v="0.03"/>
    <x v="1"/>
    <n v="1"/>
    <n v="821.05"/>
  </r>
  <r>
    <n v="10331"/>
    <x v="330"/>
    <x v="10"/>
    <x v="2"/>
    <x v="2"/>
    <n v="5"/>
    <n v="114.32"/>
    <n v="0.2"/>
    <x v="2"/>
    <n v="3.4"/>
    <n v="457.28"/>
  </r>
  <r>
    <n v="10332"/>
    <x v="331"/>
    <x v="10"/>
    <x v="2"/>
    <x v="1"/>
    <n v="7"/>
    <n v="354.75"/>
    <n v="0.04"/>
    <x v="0"/>
    <n v="2.2000000000000002"/>
    <n v="2383.92"/>
  </r>
  <r>
    <n v="10333"/>
    <x v="332"/>
    <x v="10"/>
    <x v="3"/>
    <x v="0"/>
    <n v="1"/>
    <n v="297.95"/>
    <n v="7.0000000000000007E-2"/>
    <x v="1"/>
    <n v="1.7"/>
    <n v="277.08999999999997"/>
  </r>
  <r>
    <n v="10334"/>
    <x v="333"/>
    <x v="10"/>
    <x v="2"/>
    <x v="3"/>
    <n v="5"/>
    <n v="441.37"/>
    <n v="0.06"/>
    <x v="0"/>
    <n v="3.7"/>
    <n v="2074.44"/>
  </r>
  <r>
    <n v="10335"/>
    <x v="334"/>
    <x v="11"/>
    <x v="1"/>
    <x v="3"/>
    <n v="1"/>
    <n v="273.2"/>
    <n v="0.02"/>
    <x v="1"/>
    <n v="3.1"/>
    <n v="267.74"/>
  </r>
  <r>
    <n v="10336"/>
    <x v="335"/>
    <x v="11"/>
    <x v="1"/>
    <x v="0"/>
    <n v="3"/>
    <n v="213.1"/>
    <n v="0.23"/>
    <x v="0"/>
    <n v="4.7"/>
    <n v="492.26"/>
  </r>
  <r>
    <n v="10337"/>
    <x v="336"/>
    <x v="11"/>
    <x v="2"/>
    <x v="1"/>
    <n v="6"/>
    <n v="186.68"/>
    <n v="0.16"/>
    <x v="1"/>
    <n v="4.3"/>
    <n v="940.87"/>
  </r>
  <r>
    <n v="10338"/>
    <x v="337"/>
    <x v="11"/>
    <x v="0"/>
    <x v="1"/>
    <n v="4"/>
    <n v="138.71"/>
    <n v="0.28999999999999998"/>
    <x v="1"/>
    <n v="3.9"/>
    <n v="393.94"/>
  </r>
  <r>
    <n v="10339"/>
    <x v="338"/>
    <x v="11"/>
    <x v="2"/>
    <x v="2"/>
    <n v="3"/>
    <n v="170.46"/>
    <n v="0.03"/>
    <x v="0"/>
    <n v="1.5"/>
    <n v="496.04"/>
  </r>
  <r>
    <n v="10340"/>
    <x v="339"/>
    <x v="11"/>
    <x v="2"/>
    <x v="2"/>
    <n v="4"/>
    <n v="70.48"/>
    <n v="0.05"/>
    <x v="1"/>
    <n v="3.7"/>
    <n v="267.82"/>
  </r>
  <r>
    <n v="10341"/>
    <x v="340"/>
    <x v="11"/>
    <x v="2"/>
    <x v="0"/>
    <n v="7"/>
    <n v="217.91"/>
    <n v="0.11"/>
    <x v="1"/>
    <n v="3.8"/>
    <n v="1357.58"/>
  </r>
  <r>
    <n v="10342"/>
    <x v="341"/>
    <x v="11"/>
    <x v="2"/>
    <x v="2"/>
    <n v="5"/>
    <n v="36.39"/>
    <n v="0.27"/>
    <x v="1"/>
    <n v="4.0999999999999996"/>
    <n v="132.82"/>
  </r>
  <r>
    <n v="10343"/>
    <x v="342"/>
    <x v="11"/>
    <x v="2"/>
    <x v="2"/>
    <n v="1"/>
    <n v="124.05"/>
    <n v="0.11"/>
    <x v="2"/>
    <n v="2.1"/>
    <n v="110.4"/>
  </r>
  <r>
    <n v="10344"/>
    <x v="343"/>
    <x v="11"/>
    <x v="3"/>
    <x v="2"/>
    <n v="2"/>
    <n v="451.86"/>
    <n v="0.14000000000000001"/>
    <x v="0"/>
    <n v="3.6"/>
    <n v="777.2"/>
  </r>
  <r>
    <n v="10345"/>
    <x v="344"/>
    <x v="11"/>
    <x v="0"/>
    <x v="3"/>
    <n v="2"/>
    <n v="205.4"/>
    <n v="0.11"/>
    <x v="1"/>
    <n v="3.5"/>
    <n v="365.61"/>
  </r>
  <r>
    <n v="10346"/>
    <x v="345"/>
    <x v="11"/>
    <x v="2"/>
    <x v="2"/>
    <n v="4"/>
    <n v="405.92"/>
    <n v="0.03"/>
    <x v="2"/>
    <n v="2.5"/>
    <n v="1574.97"/>
  </r>
  <r>
    <n v="10347"/>
    <x v="346"/>
    <x v="11"/>
    <x v="3"/>
    <x v="0"/>
    <n v="6"/>
    <n v="434.38"/>
    <n v="0.33"/>
    <x v="1"/>
    <n v="3.7"/>
    <n v="1746.21"/>
  </r>
  <r>
    <n v="10348"/>
    <x v="347"/>
    <x v="11"/>
    <x v="3"/>
    <x v="1"/>
    <n v="6"/>
    <n v="354.99"/>
    <n v="0.19"/>
    <x v="2"/>
    <n v="1.3"/>
    <n v="1725.25"/>
  </r>
  <r>
    <n v="10349"/>
    <x v="348"/>
    <x v="11"/>
    <x v="3"/>
    <x v="2"/>
    <n v="4"/>
    <n v="575.84"/>
    <n v="0.28000000000000003"/>
    <x v="1"/>
    <n v="3.6"/>
    <n v="1658.42"/>
  </r>
  <r>
    <n v="10350"/>
    <x v="349"/>
    <x v="11"/>
    <x v="1"/>
    <x v="1"/>
    <n v="3"/>
    <n v="27.54"/>
    <n v="0.23"/>
    <x v="1"/>
    <n v="3.4"/>
    <n v="63.62"/>
  </r>
  <r>
    <n v="10351"/>
    <x v="350"/>
    <x v="11"/>
    <x v="2"/>
    <x v="2"/>
    <n v="2"/>
    <n v="447.11"/>
    <n v="0.18"/>
    <x v="1"/>
    <n v="1.8"/>
    <n v="733.26"/>
  </r>
  <r>
    <n v="10352"/>
    <x v="351"/>
    <x v="11"/>
    <x v="2"/>
    <x v="0"/>
    <n v="3"/>
    <n v="575.89"/>
    <n v="0.03"/>
    <x v="2"/>
    <n v="4.3"/>
    <n v="1675.84"/>
  </r>
  <r>
    <n v="10353"/>
    <x v="352"/>
    <x v="11"/>
    <x v="3"/>
    <x v="3"/>
    <n v="5"/>
    <n v="519.42999999999995"/>
    <n v="0.22"/>
    <x v="0"/>
    <n v="4.5"/>
    <n v="2025.78"/>
  </r>
  <r>
    <n v="10354"/>
    <x v="353"/>
    <x v="11"/>
    <x v="3"/>
    <x v="0"/>
    <n v="2"/>
    <n v="113.22"/>
    <n v="0.05"/>
    <x v="2"/>
    <n v="1.8"/>
    <n v="215.12"/>
  </r>
  <r>
    <n v="10355"/>
    <x v="354"/>
    <x v="11"/>
    <x v="2"/>
    <x v="3"/>
    <n v="5"/>
    <n v="206.19"/>
    <n v="0.15"/>
    <x v="1"/>
    <n v="1.3"/>
    <n v="876.31"/>
  </r>
  <r>
    <n v="10356"/>
    <x v="355"/>
    <x v="11"/>
    <x v="1"/>
    <x v="2"/>
    <n v="1"/>
    <n v="115.88"/>
    <n v="0.22"/>
    <x v="2"/>
    <n v="3.4"/>
    <n v="90.39"/>
  </r>
  <r>
    <n v="10357"/>
    <x v="356"/>
    <x v="11"/>
    <x v="0"/>
    <x v="2"/>
    <n v="3"/>
    <n v="366.77"/>
    <n v="0.27"/>
    <x v="2"/>
    <n v="2.9"/>
    <n v="803.23"/>
  </r>
  <r>
    <n v="10358"/>
    <x v="357"/>
    <x v="11"/>
    <x v="3"/>
    <x v="3"/>
    <n v="4"/>
    <n v="431.63"/>
    <n v="0.24"/>
    <x v="1"/>
    <n v="2.7"/>
    <n v="1312.16"/>
  </r>
  <r>
    <n v="10359"/>
    <x v="358"/>
    <x v="11"/>
    <x v="0"/>
    <x v="0"/>
    <n v="2"/>
    <n v="200.49"/>
    <n v="0.24"/>
    <x v="1"/>
    <n v="4"/>
    <n v="304.74"/>
  </r>
  <r>
    <n v="10360"/>
    <x v="359"/>
    <x v="11"/>
    <x v="3"/>
    <x v="0"/>
    <n v="3"/>
    <n v="330.61"/>
    <n v="0.05"/>
    <x v="1"/>
    <n v="4.9000000000000004"/>
    <n v="942.24"/>
  </r>
  <r>
    <n v="10361"/>
    <x v="360"/>
    <x v="11"/>
    <x v="1"/>
    <x v="3"/>
    <n v="4"/>
    <n v="419.19"/>
    <n v="0.12"/>
    <x v="2"/>
    <n v="2.9"/>
    <n v="1475.55"/>
  </r>
  <r>
    <n v="10362"/>
    <x v="361"/>
    <x v="11"/>
    <x v="1"/>
    <x v="2"/>
    <n v="1"/>
    <n v="261.48"/>
    <n v="0.02"/>
    <x v="2"/>
    <n v="1"/>
    <n v="256.25"/>
  </r>
  <r>
    <n v="10363"/>
    <x v="362"/>
    <x v="11"/>
    <x v="3"/>
    <x v="3"/>
    <n v="2"/>
    <n v="514.6"/>
    <n v="0.25"/>
    <x v="2"/>
    <n v="3.4"/>
    <n v="771.9"/>
  </r>
  <r>
    <n v="10364"/>
    <x v="363"/>
    <x v="11"/>
    <x v="2"/>
    <x v="2"/>
    <n v="5"/>
    <n v="466.36"/>
    <n v="0.33"/>
    <x v="1"/>
    <n v="3.6"/>
    <n v="1562.31"/>
  </r>
  <r>
    <n v="10365"/>
    <x v="364"/>
    <x v="11"/>
    <x v="1"/>
    <x v="3"/>
    <n v="1"/>
    <n v="52.83"/>
    <n v="0.09"/>
    <x v="1"/>
    <n v="4.3"/>
    <n v="48.08"/>
  </r>
  <r>
    <n v="10366"/>
    <x v="365"/>
    <x v="0"/>
    <x v="3"/>
    <x v="2"/>
    <n v="6"/>
    <n v="378.36"/>
    <n v="0.03"/>
    <x v="0"/>
    <n v="1.8"/>
    <n v="2202.06"/>
  </r>
  <r>
    <n v="10367"/>
    <x v="366"/>
    <x v="0"/>
    <x v="2"/>
    <x v="3"/>
    <n v="4"/>
    <n v="152.66999999999999"/>
    <n v="0.17"/>
    <x v="1"/>
    <n v="3.1"/>
    <n v="506.86"/>
  </r>
  <r>
    <n v="10368"/>
    <x v="367"/>
    <x v="0"/>
    <x v="3"/>
    <x v="1"/>
    <n v="2"/>
    <n v="341.15"/>
    <n v="0.3"/>
    <x v="0"/>
    <n v="2.8"/>
    <n v="477.61"/>
  </r>
  <r>
    <n v="10369"/>
    <x v="368"/>
    <x v="0"/>
    <x v="1"/>
    <x v="2"/>
    <n v="2"/>
    <n v="574.78"/>
    <n v="0.19"/>
    <x v="2"/>
    <n v="3.7"/>
    <n v="931.14"/>
  </r>
  <r>
    <n v="10370"/>
    <x v="369"/>
    <x v="0"/>
    <x v="0"/>
    <x v="0"/>
    <n v="7"/>
    <n v="529.25"/>
    <n v="0.02"/>
    <x v="1"/>
    <n v="1.3"/>
    <n v="3630.66"/>
  </r>
  <r>
    <n v="10371"/>
    <x v="370"/>
    <x v="0"/>
    <x v="2"/>
    <x v="3"/>
    <n v="7"/>
    <n v="251.64"/>
    <n v="0.34"/>
    <x v="2"/>
    <n v="4.5"/>
    <n v="1162.58"/>
  </r>
  <r>
    <n v="10372"/>
    <x v="371"/>
    <x v="0"/>
    <x v="2"/>
    <x v="0"/>
    <n v="1"/>
    <n v="185.54"/>
    <n v="0.28999999999999998"/>
    <x v="0"/>
    <n v="3"/>
    <n v="131.72999999999999"/>
  </r>
  <r>
    <n v="10373"/>
    <x v="372"/>
    <x v="0"/>
    <x v="1"/>
    <x v="3"/>
    <n v="2"/>
    <n v="152.13"/>
    <n v="0.05"/>
    <x v="1"/>
    <n v="4.5"/>
    <n v="289.05"/>
  </r>
  <r>
    <n v="10374"/>
    <x v="373"/>
    <x v="0"/>
    <x v="2"/>
    <x v="0"/>
    <n v="4"/>
    <n v="326.52"/>
    <n v="0.32"/>
    <x v="0"/>
    <n v="2.4"/>
    <n v="888.13"/>
  </r>
  <r>
    <n v="10375"/>
    <x v="374"/>
    <x v="0"/>
    <x v="3"/>
    <x v="0"/>
    <n v="1"/>
    <n v="81.84"/>
    <n v="0.16"/>
    <x v="1"/>
    <n v="3.6"/>
    <n v="68.75"/>
  </r>
  <r>
    <n v="10376"/>
    <x v="375"/>
    <x v="0"/>
    <x v="3"/>
    <x v="3"/>
    <n v="5"/>
    <n v="336.33"/>
    <n v="0.13"/>
    <x v="2"/>
    <n v="4.8"/>
    <n v="1463.04"/>
  </r>
  <r>
    <n v="10377"/>
    <x v="376"/>
    <x v="0"/>
    <x v="2"/>
    <x v="3"/>
    <n v="1"/>
    <n v="15.78"/>
    <n v="0.16"/>
    <x v="0"/>
    <n v="4.8"/>
    <n v="13.26"/>
  </r>
  <r>
    <n v="10378"/>
    <x v="377"/>
    <x v="0"/>
    <x v="1"/>
    <x v="0"/>
    <n v="1"/>
    <n v="204.45"/>
    <n v="0.28999999999999998"/>
    <x v="0"/>
    <n v="4.8"/>
    <n v="145.16"/>
  </r>
  <r>
    <n v="10379"/>
    <x v="378"/>
    <x v="0"/>
    <x v="1"/>
    <x v="0"/>
    <n v="5"/>
    <n v="143.66"/>
    <n v="0.23"/>
    <x v="2"/>
    <n v="1.2"/>
    <n v="553.09"/>
  </r>
  <r>
    <n v="10380"/>
    <x v="379"/>
    <x v="0"/>
    <x v="1"/>
    <x v="0"/>
    <n v="6"/>
    <n v="583.16"/>
    <n v="0.02"/>
    <x v="2"/>
    <n v="2.6"/>
    <n v="3428.98"/>
  </r>
  <r>
    <n v="10381"/>
    <x v="380"/>
    <x v="0"/>
    <x v="0"/>
    <x v="2"/>
    <n v="7"/>
    <n v="440.44"/>
    <n v="0.34"/>
    <x v="1"/>
    <n v="1.2"/>
    <n v="2034.83"/>
  </r>
  <r>
    <n v="10382"/>
    <x v="381"/>
    <x v="0"/>
    <x v="3"/>
    <x v="2"/>
    <n v="4"/>
    <n v="219.55"/>
    <n v="0.05"/>
    <x v="1"/>
    <n v="2.2000000000000002"/>
    <n v="834.29"/>
  </r>
  <r>
    <n v="10383"/>
    <x v="382"/>
    <x v="0"/>
    <x v="3"/>
    <x v="1"/>
    <n v="6"/>
    <n v="69.31"/>
    <n v="0.26"/>
    <x v="1"/>
    <n v="1.7"/>
    <n v="307.74"/>
  </r>
  <r>
    <n v="10384"/>
    <x v="383"/>
    <x v="0"/>
    <x v="3"/>
    <x v="2"/>
    <n v="6"/>
    <n v="317.33"/>
    <n v="0.22"/>
    <x v="1"/>
    <n v="3.5"/>
    <n v="1485.1"/>
  </r>
  <r>
    <n v="10385"/>
    <x v="384"/>
    <x v="0"/>
    <x v="1"/>
    <x v="2"/>
    <n v="6"/>
    <n v="139.87"/>
    <n v="7.0000000000000007E-2"/>
    <x v="1"/>
    <n v="4.0999999999999996"/>
    <n v="780.47"/>
  </r>
  <r>
    <n v="10386"/>
    <x v="385"/>
    <x v="0"/>
    <x v="0"/>
    <x v="3"/>
    <n v="7"/>
    <n v="328.81"/>
    <n v="0.06"/>
    <x v="1"/>
    <n v="3.1"/>
    <n v="2163.5700000000002"/>
  </r>
  <r>
    <n v="10387"/>
    <x v="386"/>
    <x v="0"/>
    <x v="3"/>
    <x v="1"/>
    <n v="3"/>
    <n v="503.69"/>
    <n v="0.3"/>
    <x v="0"/>
    <n v="4.2"/>
    <n v="1057.75"/>
  </r>
  <r>
    <n v="10388"/>
    <x v="387"/>
    <x v="0"/>
    <x v="3"/>
    <x v="1"/>
    <n v="7"/>
    <n v="375.24"/>
    <n v="0.15"/>
    <x v="2"/>
    <n v="1.1000000000000001"/>
    <n v="2232.6799999999998"/>
  </r>
  <r>
    <n v="10389"/>
    <x v="388"/>
    <x v="0"/>
    <x v="0"/>
    <x v="2"/>
    <n v="6"/>
    <n v="385.77"/>
    <n v="0.23"/>
    <x v="1"/>
    <n v="4.3"/>
    <n v="1782.26"/>
  </r>
  <r>
    <n v="10390"/>
    <x v="389"/>
    <x v="0"/>
    <x v="2"/>
    <x v="3"/>
    <n v="3"/>
    <n v="331.5"/>
    <n v="0.18"/>
    <x v="0"/>
    <n v="1.7"/>
    <n v="815.49"/>
  </r>
  <r>
    <n v="10391"/>
    <x v="390"/>
    <x v="0"/>
    <x v="3"/>
    <x v="3"/>
    <n v="5"/>
    <n v="557.45000000000005"/>
    <n v="0.25"/>
    <x v="1"/>
    <n v="2.8"/>
    <n v="2090.44"/>
  </r>
  <r>
    <n v="10392"/>
    <x v="391"/>
    <x v="0"/>
    <x v="2"/>
    <x v="1"/>
    <n v="7"/>
    <n v="560.16"/>
    <n v="0.17"/>
    <x v="2"/>
    <n v="2.8"/>
    <n v="3254.53"/>
  </r>
  <r>
    <n v="10393"/>
    <x v="392"/>
    <x v="0"/>
    <x v="2"/>
    <x v="3"/>
    <n v="4"/>
    <n v="314.94"/>
    <n v="0.1"/>
    <x v="2"/>
    <n v="4.5"/>
    <n v="1133.78"/>
  </r>
  <r>
    <n v="10394"/>
    <x v="393"/>
    <x v="0"/>
    <x v="2"/>
    <x v="0"/>
    <n v="6"/>
    <n v="193.87"/>
    <n v="0.13"/>
    <x v="1"/>
    <n v="4.9000000000000004"/>
    <n v="1012"/>
  </r>
  <r>
    <n v="10395"/>
    <x v="394"/>
    <x v="0"/>
    <x v="0"/>
    <x v="2"/>
    <n v="2"/>
    <n v="283.86"/>
    <n v="0.3"/>
    <x v="2"/>
    <n v="2"/>
    <n v="397.4"/>
  </r>
  <r>
    <n v="10396"/>
    <x v="395"/>
    <x v="0"/>
    <x v="0"/>
    <x v="0"/>
    <n v="5"/>
    <n v="124.14"/>
    <n v="0.16"/>
    <x v="1"/>
    <n v="1.3"/>
    <n v="521.39"/>
  </r>
  <r>
    <n v="10397"/>
    <x v="396"/>
    <x v="1"/>
    <x v="3"/>
    <x v="1"/>
    <n v="3"/>
    <n v="387.26"/>
    <n v="7.0000000000000007E-2"/>
    <x v="1"/>
    <n v="3.6"/>
    <n v="1080.46"/>
  </r>
  <r>
    <n v="10398"/>
    <x v="397"/>
    <x v="1"/>
    <x v="3"/>
    <x v="1"/>
    <n v="7"/>
    <n v="307.55"/>
    <n v="0.33"/>
    <x v="1"/>
    <n v="3"/>
    <n v="1442.41"/>
  </r>
  <r>
    <n v="10399"/>
    <x v="398"/>
    <x v="1"/>
    <x v="1"/>
    <x v="3"/>
    <n v="4"/>
    <n v="75.430000000000007"/>
    <n v="0.28000000000000003"/>
    <x v="0"/>
    <n v="3.3"/>
    <n v="217.24"/>
  </r>
  <r>
    <n v="10400"/>
    <x v="399"/>
    <x v="1"/>
    <x v="0"/>
    <x v="3"/>
    <n v="1"/>
    <n v="130.62"/>
    <n v="0.02"/>
    <x v="2"/>
    <n v="1.2"/>
    <n v="128.01"/>
  </r>
  <r>
    <n v="10401"/>
    <x v="400"/>
    <x v="1"/>
    <x v="1"/>
    <x v="1"/>
    <n v="4"/>
    <n v="295.58"/>
    <n v="0.35"/>
    <x v="2"/>
    <n v="4.0999999999999996"/>
    <n v="768.51"/>
  </r>
  <r>
    <n v="10402"/>
    <x v="401"/>
    <x v="1"/>
    <x v="1"/>
    <x v="1"/>
    <n v="4"/>
    <n v="534.24"/>
    <n v="0.24"/>
    <x v="2"/>
    <n v="1.9"/>
    <n v="1624.09"/>
  </r>
  <r>
    <n v="10403"/>
    <x v="402"/>
    <x v="1"/>
    <x v="2"/>
    <x v="0"/>
    <n v="6"/>
    <n v="346.34"/>
    <n v="0.06"/>
    <x v="1"/>
    <n v="2.2999999999999998"/>
    <n v="1953.36"/>
  </r>
  <r>
    <n v="10404"/>
    <x v="403"/>
    <x v="1"/>
    <x v="3"/>
    <x v="0"/>
    <n v="6"/>
    <n v="413.7"/>
    <n v="0.08"/>
    <x v="2"/>
    <n v="1.9"/>
    <n v="2283.62"/>
  </r>
  <r>
    <n v="10405"/>
    <x v="404"/>
    <x v="1"/>
    <x v="3"/>
    <x v="3"/>
    <n v="7"/>
    <n v="213.33"/>
    <n v="0.24"/>
    <x v="1"/>
    <n v="4.8"/>
    <n v="1134.92"/>
  </r>
  <r>
    <n v="10406"/>
    <x v="405"/>
    <x v="1"/>
    <x v="1"/>
    <x v="0"/>
    <n v="7"/>
    <n v="349.28"/>
    <n v="0.27"/>
    <x v="1"/>
    <n v="1.7"/>
    <n v="1784.82"/>
  </r>
  <r>
    <n v="10407"/>
    <x v="406"/>
    <x v="1"/>
    <x v="2"/>
    <x v="3"/>
    <n v="3"/>
    <n v="276.72000000000003"/>
    <n v="0.08"/>
    <x v="2"/>
    <n v="3.9"/>
    <n v="763.75"/>
  </r>
  <r>
    <n v="10408"/>
    <x v="407"/>
    <x v="1"/>
    <x v="3"/>
    <x v="3"/>
    <n v="7"/>
    <n v="400.59"/>
    <n v="0.09"/>
    <x v="1"/>
    <n v="2"/>
    <n v="2551.7600000000002"/>
  </r>
  <r>
    <n v="10409"/>
    <x v="408"/>
    <x v="1"/>
    <x v="2"/>
    <x v="2"/>
    <n v="3"/>
    <n v="44.59"/>
    <n v="0.11"/>
    <x v="1"/>
    <n v="2.7"/>
    <n v="119.06"/>
  </r>
  <r>
    <n v="10410"/>
    <x v="409"/>
    <x v="1"/>
    <x v="3"/>
    <x v="3"/>
    <n v="6"/>
    <n v="303.58"/>
    <n v="0.21"/>
    <x v="0"/>
    <n v="5"/>
    <n v="1438.97"/>
  </r>
  <r>
    <n v="10411"/>
    <x v="410"/>
    <x v="1"/>
    <x v="0"/>
    <x v="0"/>
    <n v="6"/>
    <n v="188.16"/>
    <n v="0.06"/>
    <x v="2"/>
    <n v="1.4"/>
    <n v="1061.22"/>
  </r>
  <r>
    <n v="10412"/>
    <x v="411"/>
    <x v="1"/>
    <x v="1"/>
    <x v="1"/>
    <n v="2"/>
    <n v="205.82"/>
    <n v="0.04"/>
    <x v="2"/>
    <n v="4.5"/>
    <n v="395.17"/>
  </r>
  <r>
    <n v="10413"/>
    <x v="412"/>
    <x v="1"/>
    <x v="2"/>
    <x v="1"/>
    <n v="2"/>
    <n v="577.14"/>
    <n v="0.24"/>
    <x v="1"/>
    <n v="4.8"/>
    <n v="877.25"/>
  </r>
  <r>
    <n v="10414"/>
    <x v="413"/>
    <x v="1"/>
    <x v="3"/>
    <x v="0"/>
    <n v="5"/>
    <n v="121.88"/>
    <n v="0.27"/>
    <x v="1"/>
    <n v="3.8"/>
    <n v="444.86"/>
  </r>
  <r>
    <n v="10415"/>
    <x v="414"/>
    <x v="1"/>
    <x v="3"/>
    <x v="1"/>
    <n v="6"/>
    <n v="197.08"/>
    <n v="0.18"/>
    <x v="2"/>
    <n v="1"/>
    <n v="969.63"/>
  </r>
  <r>
    <n v="10416"/>
    <x v="415"/>
    <x v="1"/>
    <x v="1"/>
    <x v="3"/>
    <n v="1"/>
    <n v="313.29000000000002"/>
    <n v="0.13"/>
    <x v="2"/>
    <n v="4.3"/>
    <n v="272.56"/>
  </r>
  <r>
    <n v="10417"/>
    <x v="416"/>
    <x v="1"/>
    <x v="0"/>
    <x v="1"/>
    <n v="2"/>
    <n v="519.87"/>
    <n v="0.15"/>
    <x v="2"/>
    <n v="4.5"/>
    <n v="883.78"/>
  </r>
  <r>
    <n v="10418"/>
    <x v="417"/>
    <x v="1"/>
    <x v="2"/>
    <x v="0"/>
    <n v="3"/>
    <n v="258.75"/>
    <n v="0.14000000000000001"/>
    <x v="0"/>
    <n v="4.9000000000000004"/>
    <n v="667.58"/>
  </r>
  <r>
    <n v="10419"/>
    <x v="418"/>
    <x v="1"/>
    <x v="1"/>
    <x v="1"/>
    <n v="4"/>
    <n v="450.16"/>
    <n v="0.34"/>
    <x v="0"/>
    <n v="4.4000000000000004"/>
    <n v="1188.42"/>
  </r>
  <r>
    <n v="10420"/>
    <x v="419"/>
    <x v="1"/>
    <x v="3"/>
    <x v="3"/>
    <n v="7"/>
    <n v="515.98"/>
    <n v="0.27"/>
    <x v="1"/>
    <n v="2.8"/>
    <n v="2636.66"/>
  </r>
  <r>
    <n v="10421"/>
    <x v="420"/>
    <x v="1"/>
    <x v="0"/>
    <x v="3"/>
    <n v="7"/>
    <n v="196.36"/>
    <n v="7.0000000000000007E-2"/>
    <x v="0"/>
    <n v="3.8"/>
    <n v="1278.3"/>
  </r>
  <r>
    <n v="10422"/>
    <x v="421"/>
    <x v="1"/>
    <x v="2"/>
    <x v="0"/>
    <n v="5"/>
    <n v="244.76"/>
    <n v="0.13"/>
    <x v="2"/>
    <n v="2.9"/>
    <n v="1064.71"/>
  </r>
  <r>
    <n v="10423"/>
    <x v="422"/>
    <x v="1"/>
    <x v="3"/>
    <x v="0"/>
    <n v="2"/>
    <n v="223.59"/>
    <n v="0.19"/>
    <x v="2"/>
    <n v="2.4"/>
    <n v="362.22"/>
  </r>
  <r>
    <n v="10424"/>
    <x v="423"/>
    <x v="1"/>
    <x v="1"/>
    <x v="0"/>
    <n v="4"/>
    <n v="502.22"/>
    <n v="0.21"/>
    <x v="1"/>
    <n v="3.5"/>
    <n v="1587.02"/>
  </r>
  <r>
    <n v="10425"/>
    <x v="424"/>
    <x v="2"/>
    <x v="1"/>
    <x v="2"/>
    <n v="4"/>
    <n v="40.94"/>
    <n v="0.16"/>
    <x v="2"/>
    <n v="4.0999999999999996"/>
    <n v="137.56"/>
  </r>
  <r>
    <n v="10426"/>
    <x v="425"/>
    <x v="2"/>
    <x v="2"/>
    <x v="2"/>
    <n v="2"/>
    <n v="195.43"/>
    <n v="0.28000000000000003"/>
    <x v="0"/>
    <n v="3.5"/>
    <n v="281.42"/>
  </r>
  <r>
    <n v="10427"/>
    <x v="426"/>
    <x v="2"/>
    <x v="0"/>
    <x v="3"/>
    <n v="1"/>
    <n v="412.45"/>
    <n v="0.27"/>
    <x v="2"/>
    <n v="4.3"/>
    <n v="301.08999999999997"/>
  </r>
  <r>
    <n v="10428"/>
    <x v="427"/>
    <x v="2"/>
    <x v="2"/>
    <x v="2"/>
    <n v="1"/>
    <n v="345.78"/>
    <n v="0.18"/>
    <x v="2"/>
    <n v="1.7"/>
    <n v="283.54000000000002"/>
  </r>
  <r>
    <n v="10429"/>
    <x v="428"/>
    <x v="2"/>
    <x v="2"/>
    <x v="2"/>
    <n v="5"/>
    <n v="270.23"/>
    <n v="0.3"/>
    <x v="1"/>
    <n v="2.5"/>
    <n v="945.8"/>
  </r>
  <r>
    <n v="10430"/>
    <x v="429"/>
    <x v="2"/>
    <x v="2"/>
    <x v="1"/>
    <n v="1"/>
    <n v="330.87"/>
    <n v="0.26"/>
    <x v="1"/>
    <n v="2.2999999999999998"/>
    <n v="244.84"/>
  </r>
  <r>
    <n v="10431"/>
    <x v="430"/>
    <x v="2"/>
    <x v="0"/>
    <x v="2"/>
    <n v="5"/>
    <n v="130.59"/>
    <n v="0.27"/>
    <x v="1"/>
    <n v="1.8"/>
    <n v="476.65"/>
  </r>
  <r>
    <n v="10432"/>
    <x v="431"/>
    <x v="2"/>
    <x v="3"/>
    <x v="1"/>
    <n v="3"/>
    <n v="266.97000000000003"/>
    <n v="0.33"/>
    <x v="1"/>
    <n v="2.8"/>
    <n v="536.61"/>
  </r>
  <r>
    <n v="10433"/>
    <x v="432"/>
    <x v="2"/>
    <x v="3"/>
    <x v="0"/>
    <n v="2"/>
    <n v="308.5"/>
    <n v="0.09"/>
    <x v="2"/>
    <n v="4.8"/>
    <n v="561.47"/>
  </r>
  <r>
    <n v="10434"/>
    <x v="433"/>
    <x v="2"/>
    <x v="2"/>
    <x v="1"/>
    <n v="4"/>
    <n v="542.20000000000005"/>
    <n v="0.09"/>
    <x v="1"/>
    <n v="3.2"/>
    <n v="1973.61"/>
  </r>
  <r>
    <n v="10435"/>
    <x v="434"/>
    <x v="2"/>
    <x v="1"/>
    <x v="1"/>
    <n v="5"/>
    <n v="167.59"/>
    <n v="0.31"/>
    <x v="2"/>
    <n v="2.1"/>
    <n v="578.19000000000005"/>
  </r>
  <r>
    <n v="10436"/>
    <x v="435"/>
    <x v="2"/>
    <x v="1"/>
    <x v="0"/>
    <n v="7"/>
    <n v="522.67999999999995"/>
    <n v="0.27"/>
    <x v="1"/>
    <n v="2.4"/>
    <n v="2670.89"/>
  </r>
  <r>
    <n v="10437"/>
    <x v="436"/>
    <x v="2"/>
    <x v="3"/>
    <x v="0"/>
    <n v="1"/>
    <n v="391.88"/>
    <n v="0.32"/>
    <x v="1"/>
    <n v="3.5"/>
    <n v="266.48"/>
  </r>
  <r>
    <n v="10438"/>
    <x v="437"/>
    <x v="2"/>
    <x v="0"/>
    <x v="3"/>
    <n v="7"/>
    <n v="26.9"/>
    <n v="0.02"/>
    <x v="1"/>
    <n v="2.4"/>
    <n v="184.53"/>
  </r>
  <r>
    <n v="10439"/>
    <x v="438"/>
    <x v="2"/>
    <x v="2"/>
    <x v="3"/>
    <n v="5"/>
    <n v="438.91"/>
    <n v="0.22"/>
    <x v="0"/>
    <n v="3.2"/>
    <n v="1711.75"/>
  </r>
  <r>
    <n v="10440"/>
    <x v="439"/>
    <x v="2"/>
    <x v="3"/>
    <x v="3"/>
    <n v="6"/>
    <n v="35.799999999999997"/>
    <n v="0.05"/>
    <x v="1"/>
    <n v="2.1"/>
    <n v="204.06"/>
  </r>
  <r>
    <n v="10441"/>
    <x v="440"/>
    <x v="2"/>
    <x v="2"/>
    <x v="3"/>
    <n v="5"/>
    <n v="598.47"/>
    <n v="0.18"/>
    <x v="1"/>
    <n v="2.4"/>
    <n v="2453.73"/>
  </r>
  <r>
    <n v="10442"/>
    <x v="441"/>
    <x v="2"/>
    <x v="1"/>
    <x v="1"/>
    <n v="1"/>
    <n v="525.49"/>
    <n v="0.05"/>
    <x v="0"/>
    <n v="3.8"/>
    <n v="499.22"/>
  </r>
  <r>
    <n v="10443"/>
    <x v="442"/>
    <x v="2"/>
    <x v="2"/>
    <x v="1"/>
    <n v="6"/>
    <n v="188.95"/>
    <n v="0.04"/>
    <x v="0"/>
    <n v="3.3"/>
    <n v="1088.3499999999999"/>
  </r>
  <r>
    <n v="10444"/>
    <x v="443"/>
    <x v="2"/>
    <x v="2"/>
    <x v="3"/>
    <n v="6"/>
    <n v="165.59"/>
    <n v="0"/>
    <x v="2"/>
    <n v="1.4"/>
    <n v="993.54"/>
  </r>
  <r>
    <n v="10445"/>
    <x v="444"/>
    <x v="2"/>
    <x v="1"/>
    <x v="2"/>
    <n v="1"/>
    <n v="238.14"/>
    <n v="0.22"/>
    <x v="1"/>
    <n v="4.9000000000000004"/>
    <n v="185.75"/>
  </r>
  <r>
    <n v="10446"/>
    <x v="445"/>
    <x v="2"/>
    <x v="1"/>
    <x v="3"/>
    <n v="6"/>
    <n v="223.36"/>
    <n v="0.13"/>
    <x v="1"/>
    <n v="1.2"/>
    <n v="1165.94"/>
  </r>
  <r>
    <n v="10447"/>
    <x v="446"/>
    <x v="2"/>
    <x v="2"/>
    <x v="2"/>
    <n v="2"/>
    <n v="232.82"/>
    <n v="0.04"/>
    <x v="0"/>
    <n v="1.3"/>
    <n v="447.01"/>
  </r>
  <r>
    <n v="10448"/>
    <x v="447"/>
    <x v="2"/>
    <x v="3"/>
    <x v="0"/>
    <n v="4"/>
    <n v="201.19"/>
    <n v="0.11"/>
    <x v="0"/>
    <n v="3.8"/>
    <n v="716.24"/>
  </r>
  <r>
    <n v="10449"/>
    <x v="448"/>
    <x v="2"/>
    <x v="1"/>
    <x v="1"/>
    <n v="7"/>
    <n v="378.36"/>
    <n v="0.06"/>
    <x v="2"/>
    <n v="3.8"/>
    <n v="2489.61"/>
  </r>
  <r>
    <n v="10450"/>
    <x v="449"/>
    <x v="2"/>
    <x v="2"/>
    <x v="1"/>
    <n v="2"/>
    <n v="111.09"/>
    <n v="0.33"/>
    <x v="1"/>
    <n v="1.1000000000000001"/>
    <n v="148.86000000000001"/>
  </r>
  <r>
    <n v="10451"/>
    <x v="450"/>
    <x v="2"/>
    <x v="3"/>
    <x v="2"/>
    <n v="2"/>
    <n v="509.9"/>
    <n v="0.11"/>
    <x v="1"/>
    <n v="3.6"/>
    <n v="907.62"/>
  </r>
  <r>
    <n v="10452"/>
    <x v="451"/>
    <x v="2"/>
    <x v="2"/>
    <x v="3"/>
    <n v="1"/>
    <n v="490.26"/>
    <n v="0.12"/>
    <x v="1"/>
    <n v="1.1000000000000001"/>
    <n v="431.43"/>
  </r>
  <r>
    <n v="10453"/>
    <x v="452"/>
    <x v="2"/>
    <x v="1"/>
    <x v="1"/>
    <n v="1"/>
    <n v="293.74"/>
    <n v="0.28999999999999998"/>
    <x v="2"/>
    <n v="4.8"/>
    <n v="208.56"/>
  </r>
  <r>
    <n v="10454"/>
    <x v="453"/>
    <x v="2"/>
    <x v="3"/>
    <x v="2"/>
    <n v="7"/>
    <n v="513.85"/>
    <n v="0.23"/>
    <x v="1"/>
    <n v="3.8"/>
    <n v="2769.65"/>
  </r>
  <r>
    <n v="10455"/>
    <x v="454"/>
    <x v="2"/>
    <x v="2"/>
    <x v="0"/>
    <n v="4"/>
    <n v="159.58000000000001"/>
    <n v="0.25"/>
    <x v="0"/>
    <n v="1.7"/>
    <n v="478.74"/>
  </r>
  <r>
    <n v="10456"/>
    <x v="455"/>
    <x v="3"/>
    <x v="2"/>
    <x v="0"/>
    <n v="5"/>
    <n v="25.28"/>
    <n v="0.22"/>
    <x v="1"/>
    <n v="1.6"/>
    <n v="98.59"/>
  </r>
  <r>
    <n v="10457"/>
    <x v="456"/>
    <x v="3"/>
    <x v="1"/>
    <x v="1"/>
    <n v="2"/>
    <n v="377.24"/>
    <n v="0.33"/>
    <x v="2"/>
    <n v="3.3"/>
    <n v="505.5"/>
  </r>
  <r>
    <n v="10458"/>
    <x v="457"/>
    <x v="3"/>
    <x v="0"/>
    <x v="3"/>
    <n v="6"/>
    <n v="282.88"/>
    <n v="7.0000000000000007E-2"/>
    <x v="1"/>
    <n v="3.5"/>
    <n v="1578.47"/>
  </r>
  <r>
    <n v="10459"/>
    <x v="458"/>
    <x v="3"/>
    <x v="1"/>
    <x v="2"/>
    <n v="4"/>
    <n v="346.79"/>
    <n v="0.35"/>
    <x v="2"/>
    <n v="4.3"/>
    <n v="901.65"/>
  </r>
  <r>
    <n v="10460"/>
    <x v="459"/>
    <x v="3"/>
    <x v="3"/>
    <x v="1"/>
    <n v="2"/>
    <n v="541.11"/>
    <n v="0.28999999999999998"/>
    <x v="1"/>
    <n v="4.5999999999999996"/>
    <n v="768.38"/>
  </r>
  <r>
    <n v="10461"/>
    <x v="460"/>
    <x v="3"/>
    <x v="1"/>
    <x v="0"/>
    <n v="5"/>
    <n v="582.41"/>
    <n v="0.21"/>
    <x v="2"/>
    <n v="2.6"/>
    <n v="2300.52"/>
  </r>
  <r>
    <n v="10462"/>
    <x v="461"/>
    <x v="3"/>
    <x v="2"/>
    <x v="3"/>
    <n v="6"/>
    <n v="386.16"/>
    <n v="0.23"/>
    <x v="2"/>
    <n v="4.4000000000000004"/>
    <n v="1784.06"/>
  </r>
  <r>
    <n v="10463"/>
    <x v="462"/>
    <x v="3"/>
    <x v="1"/>
    <x v="2"/>
    <n v="2"/>
    <n v="461.97"/>
    <n v="0.23"/>
    <x v="1"/>
    <n v="3.2"/>
    <n v="711.43"/>
  </r>
  <r>
    <n v="10464"/>
    <x v="463"/>
    <x v="3"/>
    <x v="3"/>
    <x v="1"/>
    <n v="3"/>
    <n v="64.03"/>
    <n v="0.02"/>
    <x v="0"/>
    <n v="2.9"/>
    <n v="188.25"/>
  </r>
  <r>
    <n v="10465"/>
    <x v="464"/>
    <x v="3"/>
    <x v="2"/>
    <x v="2"/>
    <n v="7"/>
    <n v="109.02"/>
    <n v="0.08"/>
    <x v="2"/>
    <n v="3.8"/>
    <n v="702.09"/>
  </r>
  <r>
    <n v="10466"/>
    <x v="465"/>
    <x v="3"/>
    <x v="2"/>
    <x v="3"/>
    <n v="4"/>
    <n v="443.92"/>
    <n v="0.34"/>
    <x v="0"/>
    <n v="1.4"/>
    <n v="1171.95"/>
  </r>
  <r>
    <n v="10467"/>
    <x v="466"/>
    <x v="3"/>
    <x v="2"/>
    <x v="3"/>
    <n v="7"/>
    <n v="267.35000000000002"/>
    <n v="0.19"/>
    <x v="0"/>
    <n v="2.1"/>
    <n v="1515.87"/>
  </r>
  <r>
    <n v="10468"/>
    <x v="467"/>
    <x v="3"/>
    <x v="1"/>
    <x v="0"/>
    <n v="1"/>
    <n v="275.89"/>
    <n v="0.13"/>
    <x v="0"/>
    <n v="4.3"/>
    <n v="240.02"/>
  </r>
  <r>
    <n v="10469"/>
    <x v="468"/>
    <x v="3"/>
    <x v="0"/>
    <x v="3"/>
    <n v="2"/>
    <n v="195.54"/>
    <n v="0.27"/>
    <x v="1"/>
    <n v="3"/>
    <n v="285.49"/>
  </r>
  <r>
    <n v="10470"/>
    <x v="469"/>
    <x v="3"/>
    <x v="2"/>
    <x v="1"/>
    <n v="6"/>
    <n v="370.3"/>
    <n v="0.18"/>
    <x v="1"/>
    <n v="4.5999999999999996"/>
    <n v="1821.88"/>
  </r>
  <r>
    <n v="10471"/>
    <x v="470"/>
    <x v="3"/>
    <x v="1"/>
    <x v="2"/>
    <n v="6"/>
    <n v="123.32"/>
    <n v="0"/>
    <x v="0"/>
    <n v="1.4"/>
    <n v="739.92"/>
  </r>
  <r>
    <n v="10472"/>
    <x v="471"/>
    <x v="3"/>
    <x v="2"/>
    <x v="3"/>
    <n v="4"/>
    <n v="381.75"/>
    <n v="0.26"/>
    <x v="2"/>
    <n v="2.2999999999999998"/>
    <n v="1129.98"/>
  </r>
  <r>
    <n v="10473"/>
    <x v="472"/>
    <x v="3"/>
    <x v="0"/>
    <x v="3"/>
    <n v="4"/>
    <n v="116.67"/>
    <n v="0.26"/>
    <x v="1"/>
    <n v="2.4"/>
    <n v="345.34"/>
  </r>
  <r>
    <n v="10474"/>
    <x v="473"/>
    <x v="3"/>
    <x v="2"/>
    <x v="1"/>
    <n v="7"/>
    <n v="52.34"/>
    <n v="0.06"/>
    <x v="2"/>
    <n v="2.7"/>
    <n v="344.4"/>
  </r>
  <r>
    <n v="10475"/>
    <x v="474"/>
    <x v="3"/>
    <x v="1"/>
    <x v="2"/>
    <n v="6"/>
    <n v="208.26"/>
    <n v="0.33"/>
    <x v="1"/>
    <n v="4.9000000000000004"/>
    <n v="837.21"/>
  </r>
  <r>
    <n v="10476"/>
    <x v="475"/>
    <x v="3"/>
    <x v="3"/>
    <x v="2"/>
    <n v="6"/>
    <n v="150.22"/>
    <n v="0.08"/>
    <x v="2"/>
    <n v="2.2000000000000002"/>
    <n v="829.21"/>
  </r>
  <r>
    <n v="10477"/>
    <x v="476"/>
    <x v="3"/>
    <x v="3"/>
    <x v="0"/>
    <n v="6"/>
    <n v="535.05999999999995"/>
    <n v="0.16"/>
    <x v="0"/>
    <n v="3.1"/>
    <n v="2696.7"/>
  </r>
  <r>
    <n v="10478"/>
    <x v="477"/>
    <x v="3"/>
    <x v="1"/>
    <x v="0"/>
    <n v="2"/>
    <n v="47.15"/>
    <n v="0.04"/>
    <x v="2"/>
    <n v="3.1"/>
    <n v="90.53"/>
  </r>
  <r>
    <n v="10479"/>
    <x v="478"/>
    <x v="3"/>
    <x v="2"/>
    <x v="2"/>
    <n v="6"/>
    <n v="118.32"/>
    <n v="0.21"/>
    <x v="1"/>
    <n v="4.0999999999999996"/>
    <n v="560.84"/>
  </r>
  <r>
    <n v="10480"/>
    <x v="479"/>
    <x v="3"/>
    <x v="1"/>
    <x v="1"/>
    <n v="1"/>
    <n v="336"/>
    <n v="0.13"/>
    <x v="1"/>
    <n v="3.1"/>
    <n v="292.32"/>
  </r>
  <r>
    <n v="10481"/>
    <x v="480"/>
    <x v="3"/>
    <x v="2"/>
    <x v="1"/>
    <n v="6"/>
    <n v="296.42"/>
    <n v="0.12"/>
    <x v="1"/>
    <n v="3.4"/>
    <n v="1565.1"/>
  </r>
  <r>
    <n v="10482"/>
    <x v="481"/>
    <x v="3"/>
    <x v="2"/>
    <x v="0"/>
    <n v="1"/>
    <n v="41.82"/>
    <n v="0.28999999999999998"/>
    <x v="2"/>
    <n v="4"/>
    <n v="29.69"/>
  </r>
  <r>
    <n v="10483"/>
    <x v="482"/>
    <x v="3"/>
    <x v="1"/>
    <x v="3"/>
    <n v="2"/>
    <n v="19.239999999999998"/>
    <n v="0"/>
    <x v="1"/>
    <n v="1.4"/>
    <n v="38.479999999999997"/>
  </r>
  <r>
    <n v="10484"/>
    <x v="483"/>
    <x v="3"/>
    <x v="2"/>
    <x v="1"/>
    <n v="4"/>
    <n v="593.02"/>
    <n v="0.28000000000000003"/>
    <x v="2"/>
    <n v="4.9000000000000004"/>
    <n v="1707.9"/>
  </r>
  <r>
    <n v="10485"/>
    <x v="484"/>
    <x v="3"/>
    <x v="2"/>
    <x v="3"/>
    <n v="1"/>
    <n v="400.42"/>
    <n v="0.2"/>
    <x v="2"/>
    <n v="4.4000000000000004"/>
    <n v="320.33999999999997"/>
  </r>
  <r>
    <n v="10486"/>
    <x v="485"/>
    <x v="4"/>
    <x v="3"/>
    <x v="1"/>
    <n v="2"/>
    <n v="228.76"/>
    <n v="0.35"/>
    <x v="2"/>
    <n v="2.6"/>
    <n v="297.39"/>
  </r>
  <r>
    <n v="10487"/>
    <x v="486"/>
    <x v="4"/>
    <x v="0"/>
    <x v="2"/>
    <n v="6"/>
    <n v="290.2"/>
    <n v="0.21"/>
    <x v="0"/>
    <n v="3.9"/>
    <n v="1375.55"/>
  </r>
  <r>
    <n v="10488"/>
    <x v="487"/>
    <x v="4"/>
    <x v="1"/>
    <x v="0"/>
    <n v="2"/>
    <n v="170.93"/>
    <n v="0.02"/>
    <x v="2"/>
    <n v="4"/>
    <n v="335.02"/>
  </r>
  <r>
    <n v="10489"/>
    <x v="488"/>
    <x v="4"/>
    <x v="2"/>
    <x v="3"/>
    <n v="6"/>
    <n v="216.75"/>
    <n v="0.02"/>
    <x v="1"/>
    <n v="4.4000000000000004"/>
    <n v="1274.49"/>
  </r>
  <r>
    <n v="10490"/>
    <x v="489"/>
    <x v="4"/>
    <x v="2"/>
    <x v="3"/>
    <n v="7"/>
    <n v="394.69"/>
    <n v="0.31"/>
    <x v="2"/>
    <n v="1.8"/>
    <n v="1906.35"/>
  </r>
  <r>
    <n v="10491"/>
    <x v="490"/>
    <x v="4"/>
    <x v="0"/>
    <x v="2"/>
    <n v="2"/>
    <n v="531.44000000000005"/>
    <n v="0.28999999999999998"/>
    <x v="2"/>
    <n v="3.8"/>
    <n v="754.64"/>
  </r>
  <r>
    <n v="10492"/>
    <x v="491"/>
    <x v="4"/>
    <x v="2"/>
    <x v="1"/>
    <n v="4"/>
    <n v="122.72"/>
    <n v="0.12"/>
    <x v="1"/>
    <n v="1.1000000000000001"/>
    <n v="431.97"/>
  </r>
  <r>
    <n v="10493"/>
    <x v="492"/>
    <x v="4"/>
    <x v="2"/>
    <x v="3"/>
    <n v="1"/>
    <n v="506.61"/>
    <n v="0.22"/>
    <x v="2"/>
    <n v="1.5"/>
    <n v="395.16"/>
  </r>
  <r>
    <n v="10494"/>
    <x v="493"/>
    <x v="4"/>
    <x v="1"/>
    <x v="1"/>
    <n v="7"/>
    <n v="86.11"/>
    <n v="0.17"/>
    <x v="1"/>
    <n v="4.0999999999999996"/>
    <n v="500.3"/>
  </r>
  <r>
    <n v="10495"/>
    <x v="494"/>
    <x v="4"/>
    <x v="1"/>
    <x v="2"/>
    <n v="4"/>
    <n v="140.77000000000001"/>
    <n v="0.34"/>
    <x v="1"/>
    <n v="4.3"/>
    <n v="371.63"/>
  </r>
  <r>
    <n v="10496"/>
    <x v="495"/>
    <x v="4"/>
    <x v="1"/>
    <x v="0"/>
    <n v="3"/>
    <n v="36.75"/>
    <n v="0.33"/>
    <x v="0"/>
    <n v="3.4"/>
    <n v="73.87"/>
  </r>
  <r>
    <n v="10497"/>
    <x v="496"/>
    <x v="4"/>
    <x v="2"/>
    <x v="3"/>
    <n v="6"/>
    <n v="97.37"/>
    <n v="0.34"/>
    <x v="0"/>
    <n v="3.3"/>
    <n v="385.59"/>
  </r>
  <r>
    <n v="10498"/>
    <x v="497"/>
    <x v="4"/>
    <x v="2"/>
    <x v="1"/>
    <n v="1"/>
    <n v="551.62"/>
    <n v="0.3"/>
    <x v="2"/>
    <n v="4"/>
    <n v="386.13"/>
  </r>
  <r>
    <n v="10499"/>
    <x v="498"/>
    <x v="4"/>
    <x v="0"/>
    <x v="3"/>
    <n v="4"/>
    <n v="283.77"/>
    <n v="0.32"/>
    <x v="2"/>
    <n v="4.5999999999999996"/>
    <n v="771.85"/>
  </r>
  <r>
    <n v="10500"/>
    <x v="499"/>
    <x v="4"/>
    <x v="2"/>
    <x v="1"/>
    <n v="1"/>
    <n v="60.43"/>
    <n v="0.08"/>
    <x v="0"/>
    <n v="2.7"/>
    <n v="55.6"/>
  </r>
  <r>
    <n v="10501"/>
    <x v="500"/>
    <x v="4"/>
    <x v="3"/>
    <x v="1"/>
    <n v="3"/>
    <n v="576.44000000000005"/>
    <n v="0.28999999999999998"/>
    <x v="0"/>
    <n v="1.5"/>
    <n v="1227.82"/>
  </r>
  <r>
    <n v="10502"/>
    <x v="501"/>
    <x v="4"/>
    <x v="3"/>
    <x v="1"/>
    <n v="5"/>
    <n v="529.21"/>
    <n v="0.25"/>
    <x v="2"/>
    <n v="4.4000000000000004"/>
    <n v="1984.54"/>
  </r>
  <r>
    <n v="10503"/>
    <x v="502"/>
    <x v="4"/>
    <x v="1"/>
    <x v="2"/>
    <n v="6"/>
    <n v="456.49"/>
    <n v="0.34"/>
    <x v="2"/>
    <n v="2.4"/>
    <n v="1807.7"/>
  </r>
  <r>
    <n v="10504"/>
    <x v="503"/>
    <x v="4"/>
    <x v="2"/>
    <x v="0"/>
    <n v="6"/>
    <n v="561.08000000000004"/>
    <n v="0.2"/>
    <x v="1"/>
    <n v="1.5"/>
    <n v="2693.18"/>
  </r>
  <r>
    <n v="10505"/>
    <x v="504"/>
    <x v="4"/>
    <x v="2"/>
    <x v="3"/>
    <n v="2"/>
    <n v="143.78"/>
    <n v="0.03"/>
    <x v="1"/>
    <n v="3.5"/>
    <n v="278.93"/>
  </r>
  <r>
    <n v="10506"/>
    <x v="505"/>
    <x v="4"/>
    <x v="1"/>
    <x v="0"/>
    <n v="6"/>
    <n v="504.28"/>
    <n v="0.21"/>
    <x v="1"/>
    <n v="3.3"/>
    <n v="2390.29"/>
  </r>
  <r>
    <n v="10507"/>
    <x v="506"/>
    <x v="4"/>
    <x v="0"/>
    <x v="1"/>
    <n v="6"/>
    <n v="418.64"/>
    <n v="0.24"/>
    <x v="2"/>
    <n v="2.9"/>
    <n v="1909"/>
  </r>
  <r>
    <n v="10508"/>
    <x v="507"/>
    <x v="4"/>
    <x v="0"/>
    <x v="1"/>
    <n v="4"/>
    <n v="523.80999999999995"/>
    <n v="0.08"/>
    <x v="0"/>
    <n v="4.4000000000000004"/>
    <n v="1927.62"/>
  </r>
  <r>
    <n v="10509"/>
    <x v="508"/>
    <x v="4"/>
    <x v="2"/>
    <x v="0"/>
    <n v="7"/>
    <n v="481.19"/>
    <n v="0.14000000000000001"/>
    <x v="0"/>
    <n v="2.1"/>
    <n v="2896.76"/>
  </r>
  <r>
    <n v="10510"/>
    <x v="509"/>
    <x v="4"/>
    <x v="2"/>
    <x v="0"/>
    <n v="6"/>
    <n v="217.7"/>
    <n v="0.21"/>
    <x v="1"/>
    <n v="1.1000000000000001"/>
    <n v="1031.9000000000001"/>
  </r>
  <r>
    <n v="10511"/>
    <x v="510"/>
    <x v="4"/>
    <x v="0"/>
    <x v="3"/>
    <n v="6"/>
    <n v="468.02"/>
    <n v="0.13"/>
    <x v="2"/>
    <n v="2.2999999999999998"/>
    <n v="2443.06"/>
  </r>
  <r>
    <n v="10512"/>
    <x v="511"/>
    <x v="4"/>
    <x v="3"/>
    <x v="1"/>
    <n v="3"/>
    <n v="168.54"/>
    <n v="0.13"/>
    <x v="1"/>
    <n v="1"/>
    <n v="439.89"/>
  </r>
  <r>
    <n v="10513"/>
    <x v="512"/>
    <x v="4"/>
    <x v="0"/>
    <x v="0"/>
    <n v="7"/>
    <n v="207.23"/>
    <n v="0.05"/>
    <x v="1"/>
    <n v="3.2"/>
    <n v="1378.08"/>
  </r>
  <r>
    <n v="10514"/>
    <x v="513"/>
    <x v="4"/>
    <x v="2"/>
    <x v="2"/>
    <n v="3"/>
    <n v="78.12"/>
    <n v="0.33"/>
    <x v="0"/>
    <n v="2.5"/>
    <n v="157.02000000000001"/>
  </r>
  <r>
    <n v="10515"/>
    <x v="514"/>
    <x v="4"/>
    <x v="1"/>
    <x v="1"/>
    <n v="1"/>
    <n v="562.02"/>
    <n v="0.26"/>
    <x v="2"/>
    <n v="4.3"/>
    <n v="415.89"/>
  </r>
  <r>
    <n v="10516"/>
    <x v="515"/>
    <x v="4"/>
    <x v="3"/>
    <x v="1"/>
    <n v="1"/>
    <n v="185.24"/>
    <n v="0"/>
    <x v="2"/>
    <n v="4.2"/>
    <n v="185.24"/>
  </r>
  <r>
    <n v="10517"/>
    <x v="516"/>
    <x v="5"/>
    <x v="3"/>
    <x v="3"/>
    <n v="6"/>
    <n v="319.56"/>
    <n v="0.27"/>
    <x v="1"/>
    <n v="2.7"/>
    <n v="1399.67"/>
  </r>
  <r>
    <n v="10518"/>
    <x v="517"/>
    <x v="5"/>
    <x v="1"/>
    <x v="2"/>
    <n v="6"/>
    <n v="243.93"/>
    <n v="0.26"/>
    <x v="1"/>
    <n v="1.9"/>
    <n v="1083.05"/>
  </r>
  <r>
    <n v="10519"/>
    <x v="518"/>
    <x v="5"/>
    <x v="2"/>
    <x v="3"/>
    <n v="2"/>
    <n v="576.55999999999995"/>
    <n v="0"/>
    <x v="2"/>
    <n v="2.7"/>
    <n v="1153.1199999999999"/>
  </r>
  <r>
    <n v="10520"/>
    <x v="519"/>
    <x v="5"/>
    <x v="1"/>
    <x v="2"/>
    <n v="1"/>
    <n v="211"/>
    <n v="0.13"/>
    <x v="1"/>
    <n v="3.6"/>
    <n v="183.57"/>
  </r>
  <r>
    <n v="10521"/>
    <x v="520"/>
    <x v="5"/>
    <x v="2"/>
    <x v="3"/>
    <n v="4"/>
    <n v="470.45"/>
    <n v="0.21"/>
    <x v="1"/>
    <n v="1.8"/>
    <n v="1486.62"/>
  </r>
  <r>
    <n v="10522"/>
    <x v="521"/>
    <x v="5"/>
    <x v="1"/>
    <x v="2"/>
    <n v="6"/>
    <n v="515.41999999999996"/>
    <n v="0.16"/>
    <x v="1"/>
    <n v="4.0999999999999996"/>
    <n v="2597.7199999999998"/>
  </r>
  <r>
    <n v="10523"/>
    <x v="522"/>
    <x v="5"/>
    <x v="0"/>
    <x v="2"/>
    <n v="4"/>
    <n v="269.83"/>
    <n v="0.27"/>
    <x v="2"/>
    <n v="2.2999999999999998"/>
    <n v="787.9"/>
  </r>
  <r>
    <n v="10524"/>
    <x v="523"/>
    <x v="5"/>
    <x v="1"/>
    <x v="2"/>
    <n v="6"/>
    <n v="236.23"/>
    <n v="0.15"/>
    <x v="0"/>
    <n v="4.7"/>
    <n v="1204.77"/>
  </r>
  <r>
    <n v="10525"/>
    <x v="524"/>
    <x v="5"/>
    <x v="3"/>
    <x v="0"/>
    <n v="4"/>
    <n v="452.43"/>
    <n v="0.05"/>
    <x v="0"/>
    <n v="3"/>
    <n v="1719.23"/>
  </r>
  <r>
    <n v="10526"/>
    <x v="525"/>
    <x v="5"/>
    <x v="2"/>
    <x v="1"/>
    <n v="5"/>
    <n v="549.04"/>
    <n v="0.34"/>
    <x v="0"/>
    <n v="4.4000000000000004"/>
    <n v="1811.83"/>
  </r>
  <r>
    <n v="10527"/>
    <x v="526"/>
    <x v="5"/>
    <x v="3"/>
    <x v="2"/>
    <n v="4"/>
    <n v="456.64"/>
    <n v="0.08"/>
    <x v="0"/>
    <n v="3.5"/>
    <n v="1680.44"/>
  </r>
  <r>
    <n v="10528"/>
    <x v="527"/>
    <x v="5"/>
    <x v="0"/>
    <x v="0"/>
    <n v="7"/>
    <n v="147.87"/>
    <n v="0.25"/>
    <x v="0"/>
    <n v="3.2"/>
    <n v="776.32"/>
  </r>
  <r>
    <n v="10529"/>
    <x v="528"/>
    <x v="5"/>
    <x v="2"/>
    <x v="0"/>
    <n v="1"/>
    <n v="534.66"/>
    <n v="0.05"/>
    <x v="2"/>
    <n v="3.7"/>
    <n v="507.93"/>
  </r>
  <r>
    <n v="10530"/>
    <x v="529"/>
    <x v="5"/>
    <x v="2"/>
    <x v="3"/>
    <n v="6"/>
    <n v="241.74"/>
    <n v="0.12"/>
    <x v="2"/>
    <n v="4.2"/>
    <n v="1276.3900000000001"/>
  </r>
  <r>
    <n v="10531"/>
    <x v="530"/>
    <x v="5"/>
    <x v="1"/>
    <x v="1"/>
    <n v="1"/>
    <n v="352.09"/>
    <n v="0.15"/>
    <x v="1"/>
    <n v="3.6"/>
    <n v="299.27999999999997"/>
  </r>
  <r>
    <n v="10532"/>
    <x v="531"/>
    <x v="5"/>
    <x v="2"/>
    <x v="1"/>
    <n v="7"/>
    <n v="501.39"/>
    <n v="7.0000000000000007E-2"/>
    <x v="0"/>
    <n v="4.2"/>
    <n v="3264.05"/>
  </r>
  <r>
    <n v="10533"/>
    <x v="532"/>
    <x v="5"/>
    <x v="3"/>
    <x v="3"/>
    <n v="7"/>
    <n v="125.21"/>
    <n v="0.16"/>
    <x v="1"/>
    <n v="1.8"/>
    <n v="736.23"/>
  </r>
  <r>
    <n v="10534"/>
    <x v="533"/>
    <x v="5"/>
    <x v="0"/>
    <x v="1"/>
    <n v="4"/>
    <n v="473.94"/>
    <n v="0.06"/>
    <x v="1"/>
    <n v="2.1"/>
    <n v="1782.01"/>
  </r>
  <r>
    <n v="10535"/>
    <x v="534"/>
    <x v="5"/>
    <x v="1"/>
    <x v="3"/>
    <n v="3"/>
    <n v="363.76"/>
    <n v="0.2"/>
    <x v="0"/>
    <n v="1.9"/>
    <n v="873.02"/>
  </r>
  <r>
    <n v="10536"/>
    <x v="535"/>
    <x v="5"/>
    <x v="2"/>
    <x v="0"/>
    <n v="3"/>
    <n v="537.6"/>
    <n v="0.23"/>
    <x v="1"/>
    <n v="4.2"/>
    <n v="1241.8599999999999"/>
  </r>
  <r>
    <n v="10537"/>
    <x v="536"/>
    <x v="5"/>
    <x v="1"/>
    <x v="0"/>
    <n v="7"/>
    <n v="115.6"/>
    <n v="0.02"/>
    <x v="0"/>
    <n v="1.3"/>
    <n v="793.02"/>
  </r>
  <r>
    <n v="10538"/>
    <x v="537"/>
    <x v="5"/>
    <x v="3"/>
    <x v="2"/>
    <n v="3"/>
    <n v="261.10000000000002"/>
    <n v="0.3"/>
    <x v="2"/>
    <n v="4.2"/>
    <n v="548.30999999999995"/>
  </r>
  <r>
    <n v="10539"/>
    <x v="538"/>
    <x v="5"/>
    <x v="2"/>
    <x v="3"/>
    <n v="6"/>
    <n v="502.21"/>
    <n v="0.06"/>
    <x v="1"/>
    <n v="2.6"/>
    <n v="2832.46"/>
  </r>
  <r>
    <n v="10540"/>
    <x v="539"/>
    <x v="5"/>
    <x v="1"/>
    <x v="0"/>
    <n v="2"/>
    <n v="26.25"/>
    <n v="0.08"/>
    <x v="2"/>
    <n v="1.3"/>
    <n v="48.3"/>
  </r>
  <r>
    <n v="10541"/>
    <x v="540"/>
    <x v="5"/>
    <x v="1"/>
    <x v="0"/>
    <n v="5"/>
    <n v="80.64"/>
    <n v="0.23"/>
    <x v="0"/>
    <n v="2.7"/>
    <n v="310.45999999999998"/>
  </r>
  <r>
    <n v="10542"/>
    <x v="541"/>
    <x v="5"/>
    <x v="1"/>
    <x v="3"/>
    <n v="4"/>
    <n v="594.48"/>
    <n v="0.16"/>
    <x v="1"/>
    <n v="2.2000000000000002"/>
    <n v="1997.45"/>
  </r>
  <r>
    <n v="10543"/>
    <x v="542"/>
    <x v="5"/>
    <x v="2"/>
    <x v="0"/>
    <n v="2"/>
    <n v="179.03"/>
    <n v="0.17"/>
    <x v="2"/>
    <n v="3.4"/>
    <n v="297.19"/>
  </r>
  <r>
    <n v="10544"/>
    <x v="543"/>
    <x v="5"/>
    <x v="3"/>
    <x v="1"/>
    <n v="3"/>
    <n v="585.69000000000005"/>
    <n v="0.04"/>
    <x v="0"/>
    <n v="2.9"/>
    <n v="1686.79"/>
  </r>
  <r>
    <n v="10545"/>
    <x v="544"/>
    <x v="5"/>
    <x v="2"/>
    <x v="0"/>
    <n v="4"/>
    <n v="121.78"/>
    <n v="0.28000000000000003"/>
    <x v="1"/>
    <n v="2.2000000000000002"/>
    <n v="350.73"/>
  </r>
  <r>
    <n v="10546"/>
    <x v="545"/>
    <x v="5"/>
    <x v="2"/>
    <x v="3"/>
    <n v="2"/>
    <n v="226.24"/>
    <n v="0.22"/>
    <x v="1"/>
    <n v="4.4000000000000004"/>
    <n v="352.93"/>
  </r>
  <r>
    <n v="10547"/>
    <x v="546"/>
    <x v="6"/>
    <x v="0"/>
    <x v="1"/>
    <n v="1"/>
    <n v="455.43"/>
    <n v="0.05"/>
    <x v="1"/>
    <n v="2.6"/>
    <n v="432.66"/>
  </r>
  <r>
    <n v="10548"/>
    <x v="547"/>
    <x v="6"/>
    <x v="3"/>
    <x v="1"/>
    <n v="3"/>
    <n v="399.8"/>
    <n v="0.13"/>
    <x v="1"/>
    <n v="2.9"/>
    <n v="1043.48"/>
  </r>
  <r>
    <n v="10549"/>
    <x v="548"/>
    <x v="6"/>
    <x v="2"/>
    <x v="0"/>
    <n v="2"/>
    <n v="354.96"/>
    <n v="0.28000000000000003"/>
    <x v="1"/>
    <n v="4.4000000000000004"/>
    <n v="511.14"/>
  </r>
  <r>
    <n v="10550"/>
    <x v="549"/>
    <x v="6"/>
    <x v="2"/>
    <x v="2"/>
    <n v="6"/>
    <n v="324.99"/>
    <n v="0.2"/>
    <x v="2"/>
    <n v="1.4"/>
    <n v="1559.95"/>
  </r>
  <r>
    <n v="10551"/>
    <x v="550"/>
    <x v="6"/>
    <x v="2"/>
    <x v="1"/>
    <n v="1"/>
    <n v="508.41"/>
    <n v="0.04"/>
    <x v="1"/>
    <n v="2.6"/>
    <n v="488.07"/>
  </r>
  <r>
    <n v="10552"/>
    <x v="551"/>
    <x v="6"/>
    <x v="2"/>
    <x v="3"/>
    <n v="3"/>
    <n v="152.44"/>
    <n v="0.13"/>
    <x v="0"/>
    <n v="2.6"/>
    <n v="397.87"/>
  </r>
  <r>
    <n v="10553"/>
    <x v="552"/>
    <x v="6"/>
    <x v="2"/>
    <x v="2"/>
    <n v="5"/>
    <n v="273.85000000000002"/>
    <n v="0.08"/>
    <x v="1"/>
    <n v="3"/>
    <n v="1259.71"/>
  </r>
  <r>
    <n v="10554"/>
    <x v="553"/>
    <x v="6"/>
    <x v="2"/>
    <x v="2"/>
    <n v="7"/>
    <n v="105.94"/>
    <n v="0.18"/>
    <x v="2"/>
    <n v="1.4"/>
    <n v="608.1"/>
  </r>
  <r>
    <n v="10555"/>
    <x v="554"/>
    <x v="6"/>
    <x v="1"/>
    <x v="1"/>
    <n v="3"/>
    <n v="363.63"/>
    <n v="0.3"/>
    <x v="2"/>
    <n v="1.4"/>
    <n v="763.62"/>
  </r>
  <r>
    <n v="10556"/>
    <x v="555"/>
    <x v="6"/>
    <x v="3"/>
    <x v="0"/>
    <n v="6"/>
    <n v="161.57"/>
    <n v="0.15"/>
    <x v="0"/>
    <n v="2.7"/>
    <n v="824.01"/>
  </r>
  <r>
    <n v="10557"/>
    <x v="556"/>
    <x v="6"/>
    <x v="1"/>
    <x v="2"/>
    <n v="5"/>
    <n v="210.3"/>
    <n v="0.15"/>
    <x v="2"/>
    <n v="1.1000000000000001"/>
    <n v="893.78"/>
  </r>
  <r>
    <n v="10558"/>
    <x v="557"/>
    <x v="6"/>
    <x v="3"/>
    <x v="0"/>
    <n v="5"/>
    <n v="290.68"/>
    <n v="0.32"/>
    <x v="1"/>
    <n v="2"/>
    <n v="988.31"/>
  </r>
  <r>
    <n v="10559"/>
    <x v="558"/>
    <x v="6"/>
    <x v="2"/>
    <x v="1"/>
    <n v="5"/>
    <n v="30.66"/>
    <n v="0.2"/>
    <x v="0"/>
    <n v="1.8"/>
    <n v="122.64"/>
  </r>
  <r>
    <n v="10560"/>
    <x v="559"/>
    <x v="6"/>
    <x v="0"/>
    <x v="3"/>
    <n v="4"/>
    <n v="68.78"/>
    <n v="0.2"/>
    <x v="1"/>
    <n v="3"/>
    <n v="220.1"/>
  </r>
  <r>
    <n v="10561"/>
    <x v="560"/>
    <x v="6"/>
    <x v="3"/>
    <x v="2"/>
    <n v="4"/>
    <n v="416.27"/>
    <n v="0.09"/>
    <x v="1"/>
    <n v="1"/>
    <n v="1515.22"/>
  </r>
  <r>
    <n v="10562"/>
    <x v="561"/>
    <x v="6"/>
    <x v="3"/>
    <x v="3"/>
    <n v="7"/>
    <n v="265.95"/>
    <n v="0.21"/>
    <x v="1"/>
    <n v="3.7"/>
    <n v="1470.7"/>
  </r>
  <r>
    <n v="10563"/>
    <x v="562"/>
    <x v="6"/>
    <x v="3"/>
    <x v="0"/>
    <n v="5"/>
    <n v="520.9"/>
    <n v="0.2"/>
    <x v="2"/>
    <n v="4.4000000000000004"/>
    <n v="2083.6"/>
  </r>
  <r>
    <n v="10564"/>
    <x v="563"/>
    <x v="6"/>
    <x v="0"/>
    <x v="0"/>
    <n v="7"/>
    <n v="421.38"/>
    <n v="0.14000000000000001"/>
    <x v="1"/>
    <n v="3.8"/>
    <n v="2536.71"/>
  </r>
  <r>
    <n v="10565"/>
    <x v="564"/>
    <x v="6"/>
    <x v="1"/>
    <x v="3"/>
    <n v="1"/>
    <n v="19.739999999999998"/>
    <n v="0.35"/>
    <x v="2"/>
    <n v="4.3"/>
    <n v="12.83"/>
  </r>
  <r>
    <n v="10566"/>
    <x v="565"/>
    <x v="6"/>
    <x v="2"/>
    <x v="1"/>
    <n v="5"/>
    <n v="375.78"/>
    <n v="0.31"/>
    <x v="2"/>
    <n v="3.6"/>
    <n v="1296.44"/>
  </r>
  <r>
    <n v="10567"/>
    <x v="566"/>
    <x v="6"/>
    <x v="1"/>
    <x v="1"/>
    <n v="2"/>
    <n v="69.83"/>
    <n v="0.26"/>
    <x v="0"/>
    <n v="3"/>
    <n v="103.35"/>
  </r>
  <r>
    <n v="10568"/>
    <x v="567"/>
    <x v="6"/>
    <x v="3"/>
    <x v="2"/>
    <n v="5"/>
    <n v="471.85"/>
    <n v="0.19"/>
    <x v="1"/>
    <n v="1.9"/>
    <n v="1910.99"/>
  </r>
  <r>
    <n v="10569"/>
    <x v="568"/>
    <x v="6"/>
    <x v="3"/>
    <x v="2"/>
    <n v="4"/>
    <n v="595.03"/>
    <n v="0.16"/>
    <x v="1"/>
    <n v="2.1"/>
    <n v="1999.3"/>
  </r>
  <r>
    <n v="10570"/>
    <x v="569"/>
    <x v="6"/>
    <x v="1"/>
    <x v="1"/>
    <n v="4"/>
    <n v="325.75"/>
    <n v="0.06"/>
    <x v="1"/>
    <n v="2.2999999999999998"/>
    <n v="1224.82"/>
  </r>
  <r>
    <n v="10571"/>
    <x v="570"/>
    <x v="6"/>
    <x v="2"/>
    <x v="1"/>
    <n v="2"/>
    <n v="414.43"/>
    <n v="0.11"/>
    <x v="1"/>
    <n v="1.2"/>
    <n v="737.69"/>
  </r>
  <r>
    <n v="10572"/>
    <x v="571"/>
    <x v="6"/>
    <x v="1"/>
    <x v="3"/>
    <n v="2"/>
    <n v="153.83000000000001"/>
    <n v="0.27"/>
    <x v="2"/>
    <n v="4.7"/>
    <n v="224.59"/>
  </r>
  <r>
    <n v="10573"/>
    <x v="572"/>
    <x v="6"/>
    <x v="0"/>
    <x v="0"/>
    <n v="3"/>
    <n v="270.99"/>
    <n v="0.16"/>
    <x v="2"/>
    <n v="4.5999999999999996"/>
    <n v="682.89"/>
  </r>
  <r>
    <n v="10574"/>
    <x v="573"/>
    <x v="6"/>
    <x v="1"/>
    <x v="0"/>
    <n v="1"/>
    <n v="515.82000000000005"/>
    <n v="0.31"/>
    <x v="2"/>
    <n v="1.4"/>
    <n v="355.92"/>
  </r>
  <r>
    <n v="10575"/>
    <x v="574"/>
    <x v="6"/>
    <x v="1"/>
    <x v="2"/>
    <n v="1"/>
    <n v="112.94"/>
    <n v="0.05"/>
    <x v="0"/>
    <n v="3.2"/>
    <n v="107.29"/>
  </r>
  <r>
    <n v="10576"/>
    <x v="575"/>
    <x v="6"/>
    <x v="2"/>
    <x v="1"/>
    <n v="1"/>
    <n v="170.34"/>
    <n v="0.18"/>
    <x v="0"/>
    <n v="2.9"/>
    <n v="139.68"/>
  </r>
  <r>
    <n v="10577"/>
    <x v="576"/>
    <x v="6"/>
    <x v="1"/>
    <x v="3"/>
    <n v="6"/>
    <n v="275.58"/>
    <n v="0.23"/>
    <x v="1"/>
    <n v="3.7"/>
    <n v="1273.18"/>
  </r>
  <r>
    <n v="10578"/>
    <x v="577"/>
    <x v="7"/>
    <x v="0"/>
    <x v="2"/>
    <n v="4"/>
    <n v="431.67"/>
    <n v="0.18"/>
    <x v="0"/>
    <n v="3.4"/>
    <n v="1415.88"/>
  </r>
  <r>
    <n v="10579"/>
    <x v="578"/>
    <x v="7"/>
    <x v="3"/>
    <x v="3"/>
    <n v="1"/>
    <n v="234.89"/>
    <n v="0.31"/>
    <x v="1"/>
    <n v="1.5"/>
    <n v="162.07"/>
  </r>
  <r>
    <n v="10580"/>
    <x v="579"/>
    <x v="7"/>
    <x v="3"/>
    <x v="1"/>
    <n v="3"/>
    <n v="557.72"/>
    <n v="0.35"/>
    <x v="2"/>
    <n v="3.6"/>
    <n v="1087.55"/>
  </r>
  <r>
    <n v="10581"/>
    <x v="580"/>
    <x v="7"/>
    <x v="1"/>
    <x v="1"/>
    <n v="3"/>
    <n v="70.260000000000005"/>
    <n v="0.04"/>
    <x v="2"/>
    <n v="3.4"/>
    <n v="202.35"/>
  </r>
  <r>
    <n v="10582"/>
    <x v="581"/>
    <x v="7"/>
    <x v="1"/>
    <x v="1"/>
    <n v="1"/>
    <n v="231.92"/>
    <n v="0.05"/>
    <x v="0"/>
    <n v="3.1"/>
    <n v="220.32"/>
  </r>
  <r>
    <n v="10583"/>
    <x v="582"/>
    <x v="7"/>
    <x v="2"/>
    <x v="0"/>
    <n v="2"/>
    <n v="429.74"/>
    <n v="0.05"/>
    <x v="2"/>
    <n v="2.6"/>
    <n v="816.51"/>
  </r>
  <r>
    <n v="10584"/>
    <x v="583"/>
    <x v="7"/>
    <x v="3"/>
    <x v="1"/>
    <n v="3"/>
    <n v="147.19999999999999"/>
    <n v="0.24"/>
    <x v="2"/>
    <n v="4.8"/>
    <n v="335.62"/>
  </r>
  <r>
    <n v="10585"/>
    <x v="584"/>
    <x v="7"/>
    <x v="1"/>
    <x v="2"/>
    <n v="7"/>
    <n v="399"/>
    <n v="0.13"/>
    <x v="0"/>
    <n v="4.4000000000000004"/>
    <n v="2429.91"/>
  </r>
  <r>
    <n v="10586"/>
    <x v="585"/>
    <x v="7"/>
    <x v="1"/>
    <x v="0"/>
    <n v="2"/>
    <n v="111.07"/>
    <n v="0.26"/>
    <x v="2"/>
    <n v="3.3"/>
    <n v="164.38"/>
  </r>
  <r>
    <n v="10587"/>
    <x v="586"/>
    <x v="7"/>
    <x v="1"/>
    <x v="3"/>
    <n v="7"/>
    <n v="47.75"/>
    <n v="0.14000000000000001"/>
    <x v="2"/>
    <n v="1"/>
    <n v="287.45999999999998"/>
  </r>
  <r>
    <n v="10588"/>
    <x v="587"/>
    <x v="7"/>
    <x v="0"/>
    <x v="2"/>
    <n v="4"/>
    <n v="85.79"/>
    <n v="0.22"/>
    <x v="1"/>
    <n v="2.7"/>
    <n v="267.66000000000003"/>
  </r>
  <r>
    <n v="10589"/>
    <x v="588"/>
    <x v="7"/>
    <x v="2"/>
    <x v="2"/>
    <n v="6"/>
    <n v="559.04"/>
    <n v="0.27"/>
    <x v="1"/>
    <n v="3.8"/>
    <n v="2448.6"/>
  </r>
  <r>
    <n v="10590"/>
    <x v="589"/>
    <x v="7"/>
    <x v="3"/>
    <x v="3"/>
    <n v="3"/>
    <n v="337.77"/>
    <n v="0.19"/>
    <x v="0"/>
    <n v="1.5"/>
    <n v="820.78"/>
  </r>
  <r>
    <n v="10591"/>
    <x v="590"/>
    <x v="7"/>
    <x v="2"/>
    <x v="0"/>
    <n v="2"/>
    <n v="480.86"/>
    <n v="0.19"/>
    <x v="2"/>
    <n v="2.6"/>
    <n v="778.99"/>
  </r>
  <r>
    <n v="10592"/>
    <x v="591"/>
    <x v="7"/>
    <x v="1"/>
    <x v="2"/>
    <n v="7"/>
    <n v="209.6"/>
    <n v="0.03"/>
    <x v="2"/>
    <n v="1.8"/>
    <n v="1423.18"/>
  </r>
  <r>
    <n v="10593"/>
    <x v="592"/>
    <x v="7"/>
    <x v="2"/>
    <x v="2"/>
    <n v="1"/>
    <n v="361.71"/>
    <n v="0.14000000000000001"/>
    <x v="1"/>
    <n v="2.4"/>
    <n v="311.07"/>
  </r>
  <r>
    <n v="10594"/>
    <x v="593"/>
    <x v="7"/>
    <x v="2"/>
    <x v="2"/>
    <n v="7"/>
    <n v="304.55"/>
    <n v="0.19"/>
    <x v="1"/>
    <n v="1.1000000000000001"/>
    <n v="1726.8"/>
  </r>
  <r>
    <n v="10595"/>
    <x v="594"/>
    <x v="7"/>
    <x v="1"/>
    <x v="0"/>
    <n v="7"/>
    <n v="568.26"/>
    <n v="0.16"/>
    <x v="1"/>
    <n v="1.5"/>
    <n v="3341.37"/>
  </r>
  <r>
    <n v="10596"/>
    <x v="595"/>
    <x v="7"/>
    <x v="2"/>
    <x v="0"/>
    <n v="4"/>
    <n v="452.33"/>
    <n v="0.32"/>
    <x v="2"/>
    <n v="2.8"/>
    <n v="1230.3399999999999"/>
  </r>
  <r>
    <n v="10597"/>
    <x v="596"/>
    <x v="7"/>
    <x v="1"/>
    <x v="0"/>
    <n v="5"/>
    <n v="442.37"/>
    <n v="0.32"/>
    <x v="1"/>
    <n v="4.5999999999999996"/>
    <n v="1504.06"/>
  </r>
  <r>
    <n v="10598"/>
    <x v="597"/>
    <x v="7"/>
    <x v="0"/>
    <x v="2"/>
    <n v="5"/>
    <n v="42.12"/>
    <n v="0.28999999999999998"/>
    <x v="1"/>
    <n v="3"/>
    <n v="149.53"/>
  </r>
  <r>
    <n v="10599"/>
    <x v="598"/>
    <x v="7"/>
    <x v="2"/>
    <x v="1"/>
    <n v="1"/>
    <n v="336.56"/>
    <n v="0.13"/>
    <x v="2"/>
    <n v="2.8"/>
    <n v="292.81"/>
  </r>
  <r>
    <n v="10600"/>
    <x v="599"/>
    <x v="7"/>
    <x v="3"/>
    <x v="3"/>
    <n v="4"/>
    <n v="288.19"/>
    <n v="0.25"/>
    <x v="2"/>
    <n v="4.2"/>
    <n v="864.57"/>
  </r>
  <r>
    <n v="10601"/>
    <x v="600"/>
    <x v="7"/>
    <x v="1"/>
    <x v="1"/>
    <n v="4"/>
    <n v="557.79"/>
    <n v="0.14000000000000001"/>
    <x v="1"/>
    <n v="2.1"/>
    <n v="1918.8"/>
  </r>
  <r>
    <n v="10602"/>
    <x v="601"/>
    <x v="7"/>
    <x v="3"/>
    <x v="0"/>
    <n v="4"/>
    <n v="165.55"/>
    <n v="0.08"/>
    <x v="2"/>
    <n v="1.4"/>
    <n v="609.22"/>
  </r>
  <r>
    <n v="10603"/>
    <x v="602"/>
    <x v="7"/>
    <x v="2"/>
    <x v="2"/>
    <n v="4"/>
    <n v="172.85"/>
    <n v="0.12"/>
    <x v="0"/>
    <n v="1.8"/>
    <n v="608.42999999999995"/>
  </r>
  <r>
    <n v="10604"/>
    <x v="603"/>
    <x v="7"/>
    <x v="2"/>
    <x v="2"/>
    <n v="5"/>
    <n v="255.64"/>
    <n v="0.02"/>
    <x v="2"/>
    <n v="4.2"/>
    <n v="1252.6400000000001"/>
  </r>
  <r>
    <n v="10605"/>
    <x v="604"/>
    <x v="7"/>
    <x v="2"/>
    <x v="1"/>
    <n v="2"/>
    <n v="157.37"/>
    <n v="0.12"/>
    <x v="0"/>
    <n v="3.7"/>
    <n v="276.97000000000003"/>
  </r>
  <r>
    <n v="10606"/>
    <x v="605"/>
    <x v="7"/>
    <x v="2"/>
    <x v="1"/>
    <n v="4"/>
    <n v="90.57"/>
    <n v="0.16"/>
    <x v="0"/>
    <n v="1.4"/>
    <n v="304.32"/>
  </r>
  <r>
    <n v="10607"/>
    <x v="606"/>
    <x v="7"/>
    <x v="2"/>
    <x v="3"/>
    <n v="2"/>
    <n v="516.59"/>
    <n v="0.33"/>
    <x v="1"/>
    <n v="3.7"/>
    <n v="692.23"/>
  </r>
  <r>
    <n v="10608"/>
    <x v="607"/>
    <x v="7"/>
    <x v="3"/>
    <x v="2"/>
    <n v="7"/>
    <n v="341.59"/>
    <n v="0.11"/>
    <x v="1"/>
    <n v="4.7"/>
    <n v="2128.11"/>
  </r>
  <r>
    <n v="10609"/>
    <x v="608"/>
    <x v="8"/>
    <x v="0"/>
    <x v="1"/>
    <n v="7"/>
    <n v="518.9"/>
    <n v="0.32"/>
    <x v="2"/>
    <n v="1.2"/>
    <n v="2469.96"/>
  </r>
  <r>
    <n v="10610"/>
    <x v="609"/>
    <x v="8"/>
    <x v="3"/>
    <x v="3"/>
    <n v="4"/>
    <n v="501.21"/>
    <n v="0.08"/>
    <x v="2"/>
    <n v="3.5"/>
    <n v="1844.45"/>
  </r>
  <r>
    <n v="10611"/>
    <x v="610"/>
    <x v="8"/>
    <x v="3"/>
    <x v="0"/>
    <n v="3"/>
    <n v="179.99"/>
    <n v="7.0000000000000007E-2"/>
    <x v="1"/>
    <n v="2.5"/>
    <n v="502.17"/>
  </r>
  <r>
    <n v="10612"/>
    <x v="611"/>
    <x v="8"/>
    <x v="2"/>
    <x v="1"/>
    <n v="6"/>
    <n v="335.43"/>
    <n v="0.18"/>
    <x v="1"/>
    <n v="3"/>
    <n v="1650.32"/>
  </r>
  <r>
    <n v="10613"/>
    <x v="612"/>
    <x v="8"/>
    <x v="2"/>
    <x v="0"/>
    <n v="3"/>
    <n v="63.68"/>
    <n v="0.24"/>
    <x v="2"/>
    <n v="3.1"/>
    <n v="145.19"/>
  </r>
  <r>
    <n v="10614"/>
    <x v="613"/>
    <x v="8"/>
    <x v="2"/>
    <x v="3"/>
    <n v="7"/>
    <n v="550.41999999999996"/>
    <n v="0.02"/>
    <x v="1"/>
    <n v="4.0999999999999996"/>
    <n v="3775.88"/>
  </r>
  <r>
    <n v="10615"/>
    <x v="614"/>
    <x v="8"/>
    <x v="2"/>
    <x v="0"/>
    <n v="6"/>
    <n v="251.49"/>
    <n v="0.08"/>
    <x v="0"/>
    <n v="3.2"/>
    <n v="1388.22"/>
  </r>
  <r>
    <n v="10616"/>
    <x v="615"/>
    <x v="8"/>
    <x v="1"/>
    <x v="2"/>
    <n v="3"/>
    <n v="245.3"/>
    <n v="0.16"/>
    <x v="1"/>
    <n v="3.4"/>
    <n v="618.16"/>
  </r>
  <r>
    <n v="10617"/>
    <x v="616"/>
    <x v="8"/>
    <x v="1"/>
    <x v="2"/>
    <n v="4"/>
    <n v="192.11"/>
    <n v="0.12"/>
    <x v="0"/>
    <n v="2.2999999999999998"/>
    <n v="676.23"/>
  </r>
  <r>
    <n v="10618"/>
    <x v="617"/>
    <x v="8"/>
    <x v="1"/>
    <x v="0"/>
    <n v="2"/>
    <n v="284.49"/>
    <n v="0.25"/>
    <x v="1"/>
    <n v="1.5"/>
    <n v="426.74"/>
  </r>
  <r>
    <n v="10619"/>
    <x v="618"/>
    <x v="8"/>
    <x v="1"/>
    <x v="2"/>
    <n v="6"/>
    <n v="162.28"/>
    <n v="0.18"/>
    <x v="1"/>
    <n v="3.7"/>
    <n v="798.42"/>
  </r>
  <r>
    <n v="10620"/>
    <x v="619"/>
    <x v="8"/>
    <x v="3"/>
    <x v="3"/>
    <n v="5"/>
    <n v="234.29"/>
    <n v="0.06"/>
    <x v="1"/>
    <n v="1"/>
    <n v="1101.1600000000001"/>
  </r>
  <r>
    <n v="10621"/>
    <x v="620"/>
    <x v="8"/>
    <x v="3"/>
    <x v="2"/>
    <n v="1"/>
    <n v="482.97"/>
    <n v="0.31"/>
    <x v="0"/>
    <n v="2.2999999999999998"/>
    <n v="333.25"/>
  </r>
  <r>
    <n v="10622"/>
    <x v="621"/>
    <x v="8"/>
    <x v="2"/>
    <x v="0"/>
    <n v="6"/>
    <n v="503.04"/>
    <n v="0.1"/>
    <x v="1"/>
    <n v="1.9"/>
    <n v="2716.42"/>
  </r>
  <r>
    <n v="10623"/>
    <x v="622"/>
    <x v="8"/>
    <x v="0"/>
    <x v="0"/>
    <n v="6"/>
    <n v="192.95"/>
    <n v="0.26"/>
    <x v="2"/>
    <n v="2.6"/>
    <n v="856.7"/>
  </r>
  <r>
    <n v="10624"/>
    <x v="623"/>
    <x v="8"/>
    <x v="0"/>
    <x v="0"/>
    <n v="5"/>
    <n v="289.37"/>
    <n v="0.27"/>
    <x v="0"/>
    <n v="2.2000000000000002"/>
    <n v="1056.2"/>
  </r>
  <r>
    <n v="10625"/>
    <x v="624"/>
    <x v="8"/>
    <x v="2"/>
    <x v="1"/>
    <n v="4"/>
    <n v="526.17999999999995"/>
    <n v="0.34"/>
    <x v="2"/>
    <n v="3.8"/>
    <n v="1389.12"/>
  </r>
  <r>
    <n v="10626"/>
    <x v="625"/>
    <x v="8"/>
    <x v="1"/>
    <x v="0"/>
    <n v="3"/>
    <n v="45.81"/>
    <n v="0.17"/>
    <x v="1"/>
    <n v="2"/>
    <n v="114.07"/>
  </r>
  <r>
    <n v="10627"/>
    <x v="626"/>
    <x v="8"/>
    <x v="1"/>
    <x v="3"/>
    <n v="3"/>
    <n v="535.15"/>
    <n v="0.22"/>
    <x v="0"/>
    <n v="3.2"/>
    <n v="1252.25"/>
  </r>
  <r>
    <n v="10628"/>
    <x v="627"/>
    <x v="8"/>
    <x v="0"/>
    <x v="2"/>
    <n v="7"/>
    <n v="143.22"/>
    <n v="0.12"/>
    <x v="0"/>
    <n v="2.8"/>
    <n v="882.24"/>
  </r>
  <r>
    <n v="10629"/>
    <x v="628"/>
    <x v="8"/>
    <x v="0"/>
    <x v="2"/>
    <n v="2"/>
    <n v="411.95"/>
    <n v="0.24"/>
    <x v="1"/>
    <n v="4.2"/>
    <n v="626.16"/>
  </r>
  <r>
    <n v="10630"/>
    <x v="629"/>
    <x v="8"/>
    <x v="2"/>
    <x v="1"/>
    <n v="4"/>
    <n v="355.79"/>
    <n v="0.16"/>
    <x v="2"/>
    <n v="2.7"/>
    <n v="1195.45"/>
  </r>
  <r>
    <n v="10631"/>
    <x v="630"/>
    <x v="8"/>
    <x v="1"/>
    <x v="1"/>
    <n v="5"/>
    <n v="338.47"/>
    <n v="0.15"/>
    <x v="0"/>
    <n v="4.5"/>
    <n v="1438.5"/>
  </r>
  <r>
    <n v="10632"/>
    <x v="631"/>
    <x v="8"/>
    <x v="1"/>
    <x v="3"/>
    <n v="4"/>
    <n v="517.73"/>
    <n v="0.3"/>
    <x v="0"/>
    <n v="1"/>
    <n v="1449.64"/>
  </r>
  <r>
    <n v="10633"/>
    <x v="632"/>
    <x v="8"/>
    <x v="1"/>
    <x v="0"/>
    <n v="4"/>
    <n v="74.42"/>
    <n v="0.02"/>
    <x v="1"/>
    <n v="3.4"/>
    <n v="291.73"/>
  </r>
  <r>
    <n v="10634"/>
    <x v="633"/>
    <x v="8"/>
    <x v="2"/>
    <x v="1"/>
    <n v="3"/>
    <n v="218.01"/>
    <n v="0.31"/>
    <x v="0"/>
    <n v="1"/>
    <n v="451.28"/>
  </r>
  <r>
    <n v="10635"/>
    <x v="634"/>
    <x v="8"/>
    <x v="0"/>
    <x v="2"/>
    <n v="5"/>
    <n v="329.88"/>
    <n v="0.3"/>
    <x v="1"/>
    <n v="3.9"/>
    <n v="1154.58"/>
  </r>
  <r>
    <n v="10636"/>
    <x v="635"/>
    <x v="8"/>
    <x v="3"/>
    <x v="1"/>
    <n v="1"/>
    <n v="489.6"/>
    <n v="0.18"/>
    <x v="1"/>
    <n v="1.9"/>
    <n v="401.47"/>
  </r>
  <r>
    <n v="10637"/>
    <x v="636"/>
    <x v="8"/>
    <x v="3"/>
    <x v="1"/>
    <n v="6"/>
    <n v="141.62"/>
    <n v="0.17"/>
    <x v="1"/>
    <n v="2.5"/>
    <n v="705.27"/>
  </r>
  <r>
    <n v="10638"/>
    <x v="637"/>
    <x v="8"/>
    <x v="0"/>
    <x v="0"/>
    <n v="3"/>
    <n v="484.71"/>
    <n v="0.13"/>
    <x v="1"/>
    <n v="2.5"/>
    <n v="1265.0899999999999"/>
  </r>
  <r>
    <n v="10639"/>
    <x v="638"/>
    <x v="9"/>
    <x v="3"/>
    <x v="1"/>
    <n v="5"/>
    <n v="248.79"/>
    <n v="0.35"/>
    <x v="2"/>
    <n v="4.4000000000000004"/>
    <n v="808.57"/>
  </r>
  <r>
    <n v="10640"/>
    <x v="639"/>
    <x v="9"/>
    <x v="1"/>
    <x v="3"/>
    <n v="2"/>
    <n v="125.51"/>
    <n v="0.04"/>
    <x v="2"/>
    <n v="1.4"/>
    <n v="240.98"/>
  </r>
  <r>
    <n v="10641"/>
    <x v="640"/>
    <x v="9"/>
    <x v="1"/>
    <x v="2"/>
    <n v="6"/>
    <n v="459.01"/>
    <n v="0.21"/>
    <x v="1"/>
    <n v="3.7"/>
    <n v="2175.71"/>
  </r>
  <r>
    <n v="10642"/>
    <x v="641"/>
    <x v="9"/>
    <x v="2"/>
    <x v="0"/>
    <n v="6"/>
    <n v="68.180000000000007"/>
    <n v="0.24"/>
    <x v="1"/>
    <n v="4.9000000000000004"/>
    <n v="310.89999999999998"/>
  </r>
  <r>
    <n v="10643"/>
    <x v="642"/>
    <x v="9"/>
    <x v="3"/>
    <x v="2"/>
    <n v="3"/>
    <n v="316.14"/>
    <n v="0.33"/>
    <x v="1"/>
    <n v="1.1000000000000001"/>
    <n v="635.44000000000005"/>
  </r>
  <r>
    <n v="10644"/>
    <x v="643"/>
    <x v="9"/>
    <x v="2"/>
    <x v="3"/>
    <n v="7"/>
    <n v="52.37"/>
    <n v="0.27"/>
    <x v="0"/>
    <n v="4.9000000000000004"/>
    <n v="267.61"/>
  </r>
  <r>
    <n v="10645"/>
    <x v="644"/>
    <x v="9"/>
    <x v="3"/>
    <x v="3"/>
    <n v="2"/>
    <n v="223.5"/>
    <n v="0.23"/>
    <x v="0"/>
    <n v="1.1000000000000001"/>
    <n v="344.19"/>
  </r>
  <r>
    <n v="10646"/>
    <x v="645"/>
    <x v="9"/>
    <x v="2"/>
    <x v="1"/>
    <n v="3"/>
    <n v="366.63"/>
    <n v="0.04"/>
    <x v="1"/>
    <n v="4.4000000000000004"/>
    <n v="1055.8900000000001"/>
  </r>
  <r>
    <n v="10647"/>
    <x v="646"/>
    <x v="9"/>
    <x v="2"/>
    <x v="1"/>
    <n v="4"/>
    <n v="340.33"/>
    <n v="0.13"/>
    <x v="0"/>
    <n v="4.8"/>
    <n v="1184.3499999999999"/>
  </r>
  <r>
    <n v="10648"/>
    <x v="647"/>
    <x v="9"/>
    <x v="2"/>
    <x v="1"/>
    <n v="7"/>
    <n v="251.72"/>
    <n v="0.05"/>
    <x v="1"/>
    <n v="5"/>
    <n v="1673.94"/>
  </r>
  <r>
    <n v="10649"/>
    <x v="648"/>
    <x v="9"/>
    <x v="2"/>
    <x v="2"/>
    <n v="5"/>
    <n v="265.99"/>
    <n v="0.31"/>
    <x v="2"/>
    <n v="2.8"/>
    <n v="917.67"/>
  </r>
  <r>
    <n v="10650"/>
    <x v="649"/>
    <x v="9"/>
    <x v="3"/>
    <x v="3"/>
    <n v="2"/>
    <n v="147.66"/>
    <n v="0.26"/>
    <x v="0"/>
    <n v="4.5"/>
    <n v="218.54"/>
  </r>
  <r>
    <n v="10651"/>
    <x v="650"/>
    <x v="9"/>
    <x v="3"/>
    <x v="0"/>
    <n v="6"/>
    <n v="281.69"/>
    <n v="0.27"/>
    <x v="1"/>
    <n v="1.5"/>
    <n v="1233.8"/>
  </r>
  <r>
    <n v="10652"/>
    <x v="651"/>
    <x v="9"/>
    <x v="1"/>
    <x v="1"/>
    <n v="3"/>
    <n v="572.65"/>
    <n v="0.23"/>
    <x v="2"/>
    <n v="2.7"/>
    <n v="1322.82"/>
  </r>
  <r>
    <n v="10653"/>
    <x v="652"/>
    <x v="9"/>
    <x v="2"/>
    <x v="2"/>
    <n v="6"/>
    <n v="512.51"/>
    <n v="0.18"/>
    <x v="1"/>
    <n v="2.2000000000000002"/>
    <n v="2521.5500000000002"/>
  </r>
  <r>
    <n v="10654"/>
    <x v="653"/>
    <x v="9"/>
    <x v="2"/>
    <x v="1"/>
    <n v="2"/>
    <n v="99.96"/>
    <n v="0.05"/>
    <x v="1"/>
    <n v="2.6"/>
    <n v="189.92"/>
  </r>
  <r>
    <n v="10655"/>
    <x v="654"/>
    <x v="9"/>
    <x v="2"/>
    <x v="3"/>
    <n v="6"/>
    <n v="32.42"/>
    <n v="0.12"/>
    <x v="2"/>
    <n v="3.8"/>
    <n v="171.18"/>
  </r>
  <r>
    <n v="10656"/>
    <x v="655"/>
    <x v="9"/>
    <x v="2"/>
    <x v="0"/>
    <n v="3"/>
    <n v="561.11"/>
    <n v="0.05"/>
    <x v="0"/>
    <n v="1.3"/>
    <n v="1599.16"/>
  </r>
  <r>
    <n v="10657"/>
    <x v="656"/>
    <x v="9"/>
    <x v="0"/>
    <x v="3"/>
    <n v="7"/>
    <n v="323.14999999999998"/>
    <n v="0.25"/>
    <x v="2"/>
    <n v="5"/>
    <n v="1696.54"/>
  </r>
  <r>
    <n v="10658"/>
    <x v="657"/>
    <x v="9"/>
    <x v="2"/>
    <x v="2"/>
    <n v="3"/>
    <n v="329.64"/>
    <n v="0.06"/>
    <x v="0"/>
    <n v="3.5"/>
    <n v="929.58"/>
  </r>
  <r>
    <n v="10659"/>
    <x v="658"/>
    <x v="9"/>
    <x v="1"/>
    <x v="1"/>
    <n v="1"/>
    <n v="471.72"/>
    <n v="0.25"/>
    <x v="0"/>
    <n v="4.5"/>
    <n v="353.79"/>
  </r>
  <r>
    <n v="10660"/>
    <x v="659"/>
    <x v="9"/>
    <x v="2"/>
    <x v="3"/>
    <n v="6"/>
    <n v="199.09"/>
    <n v="0.24"/>
    <x v="1"/>
    <n v="4.3"/>
    <n v="907.85"/>
  </r>
  <r>
    <n v="10661"/>
    <x v="660"/>
    <x v="9"/>
    <x v="2"/>
    <x v="2"/>
    <n v="1"/>
    <n v="296.92"/>
    <n v="0.16"/>
    <x v="1"/>
    <n v="4.0999999999999996"/>
    <n v="249.41"/>
  </r>
  <r>
    <n v="10662"/>
    <x v="661"/>
    <x v="9"/>
    <x v="1"/>
    <x v="1"/>
    <n v="7"/>
    <n v="581.66999999999996"/>
    <n v="0.05"/>
    <x v="2"/>
    <n v="1.2"/>
    <n v="3868.11"/>
  </r>
  <r>
    <n v="10663"/>
    <x v="662"/>
    <x v="9"/>
    <x v="1"/>
    <x v="0"/>
    <n v="1"/>
    <n v="408.21"/>
    <n v="0.11"/>
    <x v="2"/>
    <n v="3.1"/>
    <n v="363.31"/>
  </r>
  <r>
    <n v="10664"/>
    <x v="663"/>
    <x v="9"/>
    <x v="2"/>
    <x v="3"/>
    <n v="6"/>
    <n v="104.94"/>
    <n v="0.11"/>
    <x v="1"/>
    <n v="2.2999999999999998"/>
    <n v="560.38"/>
  </r>
  <r>
    <n v="10665"/>
    <x v="664"/>
    <x v="9"/>
    <x v="2"/>
    <x v="1"/>
    <n v="2"/>
    <n v="92.94"/>
    <n v="0.25"/>
    <x v="0"/>
    <n v="1.5"/>
    <n v="139.41"/>
  </r>
  <r>
    <n v="10666"/>
    <x v="665"/>
    <x v="9"/>
    <x v="1"/>
    <x v="1"/>
    <n v="4"/>
    <n v="134.49"/>
    <n v="0.04"/>
    <x v="2"/>
    <n v="2.4"/>
    <n v="516.44000000000005"/>
  </r>
  <r>
    <n v="10667"/>
    <x v="666"/>
    <x v="9"/>
    <x v="2"/>
    <x v="1"/>
    <n v="7"/>
    <n v="463.53"/>
    <n v="0.28999999999999998"/>
    <x v="1"/>
    <n v="3.6"/>
    <n v="2303.7399999999998"/>
  </r>
  <r>
    <n v="10668"/>
    <x v="667"/>
    <x v="9"/>
    <x v="2"/>
    <x v="1"/>
    <n v="3"/>
    <n v="187.8"/>
    <n v="0.27"/>
    <x v="2"/>
    <n v="1.9"/>
    <n v="411.28"/>
  </r>
  <r>
    <n v="10669"/>
    <x v="668"/>
    <x v="9"/>
    <x v="0"/>
    <x v="3"/>
    <n v="5"/>
    <n v="27.51"/>
    <n v="7.0000000000000007E-2"/>
    <x v="1"/>
    <n v="2.8"/>
    <n v="12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52850-48DF-4DB7-8254-C3BFD0EDF8F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6" firstHeaderRow="1" firstDataRow="1" firstDataCol="1"/>
  <pivotFields count="14">
    <pivotField dataField="1" showAll="0"/>
    <pivotField numFmtId="14" showAll="0">
      <items count="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numFmtId="9" showAll="0"/>
    <pivotField axis="axisRow"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x v="2"/>
    </i>
  </rowItems>
  <colItems count="1">
    <i/>
  </colItems>
  <dataFields count="1">
    <dataField name="Count of order_id" fld="0" subtotal="count" baseField="8" baseItem="0" numFmtId="1"/>
  </dataFields>
  <chartFormats count="8">
    <chartFormat chart="0" format="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C89B43-57AC-4B6A-8D2A-B6B0199B849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7" firstHeaderRow="1" firstDataRow="1" firstDataCol="1"/>
  <pivotFields count="14">
    <pivotField showAll="0" insertBlankRow="1"/>
    <pivotField numFmtId="14" showAll="0" insertBlankRow="1">
      <items count="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t="default"/>
      </items>
    </pivotField>
    <pivotField showAll="0" insertBlankRow="1"/>
    <pivotField axis="axisRow" showAll="0" insertBlankRow="1">
      <items count="5">
        <item x="0"/>
        <item x="1"/>
        <item x="2"/>
        <item x="3"/>
        <item t="default"/>
      </items>
    </pivotField>
    <pivotField showAll="0" insertBlankRow="1">
      <items count="5">
        <item x="1"/>
        <item x="3"/>
        <item x="0"/>
        <item x="2"/>
        <item t="default"/>
      </items>
    </pivotField>
    <pivotField showAll="0" insertBlankRow="1"/>
    <pivotField showAll="0" insertBlankRow="1"/>
    <pivotField numFmtId="9" showAll="0" insertBlankRow="1"/>
    <pivotField showAll="0" insertBlankRow="1">
      <items count="4">
        <item x="1"/>
        <item x="2"/>
        <item x="0"/>
        <item t="default"/>
      </items>
    </pivotField>
    <pivotField showAll="0" insertBlankRow="1"/>
    <pivotField dataField="1" showAll="0" insertBlankRow="1"/>
    <pivotField showAll="0" insertBlankRow="1">
      <items count="15">
        <item x="0"/>
        <item x="1"/>
        <item x="2"/>
        <item x="3"/>
        <item x="4"/>
        <item x="5"/>
        <item x="6"/>
        <item x="7"/>
        <item x="8"/>
        <item x="9"/>
        <item x="10"/>
        <item x="11"/>
        <item x="12"/>
        <item x="13"/>
        <item t="default"/>
      </items>
    </pivotField>
    <pivotField showAll="0" insertBlankRow="1">
      <items count="7">
        <item x="0"/>
        <item x="1"/>
        <item x="2"/>
        <item x="3"/>
        <item x="4"/>
        <item x="5"/>
        <item t="default"/>
      </items>
    </pivotField>
    <pivotField showAll="0" insertBlankRow="1">
      <items count="5">
        <item x="0"/>
        <item x="1"/>
        <item x="2"/>
        <item x="3"/>
        <item t="default"/>
      </items>
    </pivotField>
  </pivotFields>
  <rowFields count="1">
    <field x="3"/>
  </rowFields>
  <rowItems count="4">
    <i>
      <x/>
    </i>
    <i>
      <x v="1"/>
    </i>
    <i>
      <x v="2"/>
    </i>
    <i>
      <x v="3"/>
    </i>
  </rowItems>
  <colItems count="1">
    <i/>
  </colItems>
  <dataFields count="1">
    <dataField name="Sum of revenue" fld="10" baseField="0" baseItem="0" numFmtId="4"/>
  </dataFields>
  <chartFormats count="2">
    <chartFormat chart="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0E30E-8021-4D2F-982C-DF826CB6494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B7" firstHeaderRow="1" firstDataRow="1" firstDataCol="1"/>
  <pivotFields count="14">
    <pivotField showAll="0"/>
    <pivotField numFmtId="14" showAll="0">
      <items count="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numFmtId="9" showAll="0"/>
    <pivotField showAll="0">
      <items count="4">
        <item x="1"/>
        <item x="2"/>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x v="3"/>
    </i>
  </rowItems>
  <colItems count="1">
    <i/>
  </colItems>
  <dataFields count="1">
    <dataField name="Sum of revenue" fld="10" baseField="4" baseItem="0" numFmtId="4"/>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90152-A7BE-487E-A250-EF58B63CF32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15" firstHeaderRow="1" firstDataRow="1" firstDataCol="1"/>
  <pivotFields count="14">
    <pivotField showAll="0"/>
    <pivotField numFmtId="14" showAll="0">
      <items count="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5">
        <item x="1"/>
        <item x="3"/>
        <item x="0"/>
        <item x="2"/>
        <item t="default"/>
      </items>
    </pivotField>
    <pivotField showAll="0"/>
    <pivotField showAll="0"/>
    <pivotField numFmtId="9" showAll="0"/>
    <pivotField showAll="0">
      <items count="4">
        <item x="1"/>
        <item x="2"/>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2">
    <i>
      <x/>
    </i>
    <i>
      <x v="1"/>
    </i>
    <i>
      <x v="2"/>
    </i>
    <i>
      <x v="3"/>
    </i>
    <i>
      <x v="4"/>
    </i>
    <i>
      <x v="5"/>
    </i>
    <i>
      <x v="6"/>
    </i>
    <i>
      <x v="7"/>
    </i>
    <i>
      <x v="8"/>
    </i>
    <i>
      <x v="9"/>
    </i>
    <i>
      <x v="10"/>
    </i>
    <i>
      <x v="11"/>
    </i>
  </rowItems>
  <colItems count="1">
    <i/>
  </colItems>
  <dataFields count="1">
    <dataField name="Sum of revenue" fld="10" baseField="2" baseItem="0" numFmtId="3"/>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BB00F-0861-4977-BC10-D8276951F66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7" firstHeaderRow="1" firstDataRow="1" firstDataCol="1" rowPageCount="1" colPageCount="1"/>
  <pivotFields count="14">
    <pivotField showAll="0" insertBlankRow="1"/>
    <pivotField numFmtId="14" showAll="0" insertBlankRow="1">
      <items count="6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t="default"/>
      </items>
    </pivotField>
    <pivotField showAll="0" insertBlankRow="1"/>
    <pivotField showAll="0" insertBlankRow="1">
      <items count="5">
        <item x="0"/>
        <item x="1"/>
        <item x="2"/>
        <item x="3"/>
        <item t="default"/>
      </items>
    </pivotField>
    <pivotField showAll="0" insertBlankRow="1">
      <items count="5">
        <item x="1"/>
        <item x="3"/>
        <item x="0"/>
        <item x="2"/>
        <item t="default"/>
      </items>
    </pivotField>
    <pivotField showAll="0" insertBlankRow="1"/>
    <pivotField showAll="0" insertBlankRow="1"/>
    <pivotField numFmtId="9" showAll="0" insertBlankRow="1"/>
    <pivotField showAll="0" insertBlankRow="1">
      <items count="4">
        <item x="1"/>
        <item x="2"/>
        <item x="0"/>
        <item t="default"/>
      </items>
    </pivotField>
    <pivotField showAll="0" insertBlankRow="1"/>
    <pivotField dataField="1" showAll="0" insertBlankRow="1"/>
    <pivotField showAll="0" insertBlankRow="1">
      <items count="15">
        <item sd="0" x="0"/>
        <item sd="0" x="1"/>
        <item sd="0" x="2"/>
        <item sd="0" x="3"/>
        <item sd="0" x="4"/>
        <item sd="0" x="5"/>
        <item sd="0" x="6"/>
        <item sd="0" x="7"/>
        <item sd="0" x="8"/>
        <item sd="0" x="9"/>
        <item sd="0" x="10"/>
        <item sd="0" x="11"/>
        <item sd="0" x="12"/>
        <item sd="0" x="13"/>
        <item t="default"/>
      </items>
    </pivotField>
    <pivotField axis="axisRow" showAll="0" insertBlankRow="1">
      <items count="7">
        <item sd="0" x="0"/>
        <item sd="0" x="1"/>
        <item sd="0" x="2"/>
        <item sd="0" x="3"/>
        <item sd="0" x="4"/>
        <item sd="0" x="5"/>
        <item t="default"/>
      </items>
    </pivotField>
    <pivotField axis="axisPage" showAll="0" insertBlankRow="1">
      <items count="5">
        <item sd="0" x="0"/>
        <item sd="0" x="1"/>
        <item sd="0" x="2"/>
        <item sd="0" x="3"/>
        <item t="default"/>
      </items>
    </pivotField>
  </pivotFields>
  <rowFields count="1">
    <field x="12"/>
  </rowFields>
  <rowItems count="4">
    <i>
      <x v="1"/>
    </i>
    <i>
      <x v="2"/>
    </i>
    <i>
      <x v="3"/>
    </i>
    <i>
      <x v="4"/>
    </i>
  </rowItems>
  <colItems count="1">
    <i/>
  </colItems>
  <pageFields count="1">
    <pageField fld="13" hier="-1"/>
  </pageFields>
  <dataFields count="1">
    <dataField name="Sum of revenue" fld="10" baseField="13" baseItem="1" numFmtId="4"/>
  </dataFields>
  <chartFormats count="10">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1"/>
          </reference>
        </references>
      </pivotArea>
    </chartFormat>
    <chartFormat chart="11" format="8">
      <pivotArea type="data" outline="0" fieldPosition="0">
        <references count="2">
          <reference field="4294967294" count="1" selected="0">
            <x v="0"/>
          </reference>
          <reference field="12" count="1" selected="0">
            <x v="2"/>
          </reference>
        </references>
      </pivotArea>
    </chartFormat>
    <chartFormat chart="11" format="9">
      <pivotArea type="data" outline="0" fieldPosition="0">
        <references count="2">
          <reference field="4294967294" count="1" selected="0">
            <x v="0"/>
          </reference>
          <reference field="12" count="1" selected="0">
            <x v="3"/>
          </reference>
        </references>
      </pivotArea>
    </chartFormat>
    <chartFormat chart="11" format="10">
      <pivotArea type="data" outline="0" fieldPosition="0">
        <references count="2">
          <reference field="4294967294" count="1" selected="0">
            <x v="0"/>
          </reference>
          <reference field="12" count="1" selected="0">
            <x v="4"/>
          </reference>
        </references>
      </pivotArea>
    </chartFormat>
    <chartFormat chart="8" format="1">
      <pivotArea type="data" outline="0" fieldPosition="0">
        <references count="2">
          <reference field="4294967294" count="1" selected="0">
            <x v="0"/>
          </reference>
          <reference field="12" count="1" selected="0">
            <x v="1"/>
          </reference>
        </references>
      </pivotArea>
    </chartFormat>
    <chartFormat chart="8" format="2">
      <pivotArea type="data" outline="0" fieldPosition="0">
        <references count="2">
          <reference field="4294967294" count="1" selected="0">
            <x v="0"/>
          </reference>
          <reference field="12" count="1" selected="0">
            <x v="2"/>
          </reference>
        </references>
      </pivotArea>
    </chartFormat>
    <chartFormat chart="8" format="3">
      <pivotArea type="data" outline="0" fieldPosition="0">
        <references count="2">
          <reference field="4294967294" count="1" selected="0">
            <x v="0"/>
          </reference>
          <reference field="12" count="1" selected="0">
            <x v="3"/>
          </reference>
        </references>
      </pivotArea>
    </chartFormat>
    <chartFormat chart="8" format="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DBD4748-876D-4794-AE60-B8015B2CB360}" sourceName="product_category">
  <pivotTables>
    <pivotTable tabId="3" name="PivotTable1"/>
    <pivotTable tabId="6" name="PivotTable3"/>
    <pivotTable tabId="7" name="PivotTable4"/>
    <pivotTable tabId="8" name="PivotTable5"/>
    <pivotTable tabId="5" name="PivotTable2"/>
  </pivotTables>
  <data>
    <tabular pivotCacheId="188564630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E4E3D8-56E3-4732-A426-976313DF4867}" sourceName="region">
  <pivotTables>
    <pivotTable tabId="3" name="PivotTable1"/>
    <pivotTable tabId="6" name="PivotTable3"/>
    <pivotTable tabId="7" name="PivotTable4"/>
    <pivotTable tabId="8" name="PivotTable5"/>
    <pivotTable tabId="5" name="PivotTable2"/>
  </pivotTables>
  <data>
    <tabular pivotCacheId="188564630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9D843D9-D3A0-4E79-B647-B7188B4F6E60}" sourceName="payment_method">
  <pivotTables>
    <pivotTable tabId="3" name="PivotTable1"/>
    <pivotTable tabId="6" name="PivotTable3"/>
    <pivotTable tabId="7" name="PivotTable4"/>
    <pivotTable tabId="8" name="PivotTable5"/>
    <pivotTable tabId="5" name="PivotTable2"/>
  </pivotTables>
  <data>
    <tabular pivotCacheId="188564630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18792A23-0FDF-4171-9FEB-DA2554A7D0E8}" sourceName="Quarters (order_date)">
  <pivotTables>
    <pivotTable tabId="3" name="PivotTable1"/>
    <pivotTable tabId="6" name="PivotTable3"/>
    <pivotTable tabId="7" name="PivotTable4"/>
    <pivotTable tabId="8" name="PivotTable5"/>
    <pivotTable tabId="5" name="PivotTable2"/>
  </pivotTables>
  <data>
    <tabular pivotCacheId="1885646306">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4DE2FD6-6EDA-4614-8909-9596D9D26CA0}" sourceName="Years (order_date)">
  <pivotTables>
    <pivotTable tabId="8" name="PivotTable5"/>
  </pivotTables>
  <data>
    <tabular pivotCacheId="188564630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46AB535-999C-4F92-8EDA-111629541186}" cache="Slicer_product_category" caption="product_category" startItem="1" rowHeight="234950"/>
  <slicer name="region" xr10:uid="{5B0D913F-7412-41BE-94EC-CCFA7A1B94C6}" cache="Slicer_region" caption="region" rowHeight="234950"/>
  <slicer name="payment_method" xr10:uid="{5A4BBD2F-4A23-4550-9785-9962B85EAE25}" cache="Slicer_payment_method" caption="payment_method" rowHeight="234950"/>
  <slicer name="Quarters (order_date)" xr10:uid="{FAA9EC49-00E1-4668-AD7E-D53FD4D57F50}" cache="Slicer_Quarters__order_date" caption="Quarters (order_date)" rowHeight="234950"/>
  <slicer name="Years (order_date)" xr10:uid="{36053653-583F-4EFE-A08A-76BD0D1A9AFB}" cache="Slicer_Years__order_date" caption="Year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E56BBC-9231-442A-B385-0E1762F73E10}" name="Table1" displayName="Table1" ref="A1:K670" totalsRowShown="0" headerRowDxfId="12" dataDxfId="11">
  <autoFilter ref="A1:K670" xr:uid="{ADE56BBC-9231-442A-B385-0E1762F73E10}"/>
  <tableColumns count="11">
    <tableColumn id="1" xr3:uid="{9ADCE0DA-41F0-4A6C-A1DE-F2D7040DDDCF}" name="order_id" dataDxfId="10"/>
    <tableColumn id="2" xr3:uid="{A1640D9C-1476-4529-9CA8-0E84AAEC6AA7}" name="order_date" dataDxfId="9"/>
    <tableColumn id="11" xr3:uid="{853C1E98-080E-4874-B0F2-023AF15CB93A}" name="months" dataDxfId="8">
      <calculatedColumnFormula>TEXT(Table1[[#This Row],[order_date]],"mmmm")</calculatedColumnFormula>
    </tableColumn>
    <tableColumn id="3" xr3:uid="{1E90982C-E605-4F23-8FA5-EDDE1E857EE9}" name="product_category" dataDxfId="7"/>
    <tableColumn id="4" xr3:uid="{6BFEA894-9B5D-4C16-A47F-CCE5C63551E0}" name="region" dataDxfId="6"/>
    <tableColumn id="5" xr3:uid="{FE8BDA8D-6766-4738-AC14-BC16B63B9A3D}" name="quantity" dataDxfId="5"/>
    <tableColumn id="6" xr3:uid="{C2FD2915-3DD5-4462-8D5D-7ABD7C50B9F2}" name="unit_price" dataDxfId="4"/>
    <tableColumn id="7" xr3:uid="{33F7A106-94C9-483E-A02F-F39E23FB1CD0}" name="discount" dataDxfId="3" dataCellStyle="Percent"/>
    <tableColumn id="8" xr3:uid="{32527C28-C2F5-4E26-B046-F21AE2C0F114}" name="payment_method" dataDxfId="2"/>
    <tableColumn id="9" xr3:uid="{37F9958D-CE73-4EBB-BB65-233C8D78023F}" name="customer_rating" dataDxfId="1"/>
    <tableColumn id="10" xr3:uid="{6C3B60BD-277B-46F1-9A35-A1762E4827BA}" name="revenu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9A80-DC18-4DFB-AE10-273E39F987B8}">
  <dimension ref="A3:B6"/>
  <sheetViews>
    <sheetView workbookViewId="0">
      <selection activeCell="F24" sqref="F24"/>
    </sheetView>
  </sheetViews>
  <sheetFormatPr defaultRowHeight="14.4" x14ac:dyDescent="0.3"/>
  <cols>
    <col min="1" max="1" width="12.5546875" bestFit="1" customWidth="1"/>
    <col min="2" max="2" width="16" bestFit="1" customWidth="1"/>
    <col min="3" max="3" width="14.6640625" bestFit="1" customWidth="1"/>
  </cols>
  <sheetData>
    <row r="3" spans="1:2" x14ac:dyDescent="0.3">
      <c r="A3" s="4" t="s">
        <v>21</v>
      </c>
      <c r="B3" t="s">
        <v>22</v>
      </c>
    </row>
    <row r="4" spans="1:2" x14ac:dyDescent="0.3">
      <c r="A4" s="5" t="s">
        <v>14</v>
      </c>
      <c r="B4" s="6">
        <v>300</v>
      </c>
    </row>
    <row r="5" spans="1:2" x14ac:dyDescent="0.3">
      <c r="A5" s="5" t="s">
        <v>16</v>
      </c>
      <c r="B5" s="6">
        <v>234</v>
      </c>
    </row>
    <row r="6" spans="1:2" x14ac:dyDescent="0.3">
      <c r="A6" s="5" t="s">
        <v>12</v>
      </c>
      <c r="B6" s="6">
        <v>135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2716-75FF-45BE-A457-B5898BB90B09}">
  <dimension ref="A3:B7"/>
  <sheetViews>
    <sheetView workbookViewId="0">
      <selection activeCell="J25" sqref="J25"/>
    </sheetView>
  </sheetViews>
  <sheetFormatPr defaultRowHeight="14.4" x14ac:dyDescent="0.3"/>
  <cols>
    <col min="1" max="1" width="12.5546875" bestFit="1" customWidth="1"/>
    <col min="2" max="2" width="14.44140625" bestFit="1" customWidth="1"/>
  </cols>
  <sheetData>
    <row r="3" spans="1:2" x14ac:dyDescent="0.3">
      <c r="A3" s="4" t="s">
        <v>21</v>
      </c>
      <c r="B3" t="s">
        <v>23</v>
      </c>
    </row>
    <row r="4" spans="1:2" x14ac:dyDescent="0.3">
      <c r="A4" s="5" t="s">
        <v>10</v>
      </c>
      <c r="B4" s="7">
        <v>101303.86000000004</v>
      </c>
    </row>
    <row r="5" spans="1:2" x14ac:dyDescent="0.3">
      <c r="A5" s="5" t="s">
        <v>13</v>
      </c>
      <c r="B5" s="7">
        <v>183080.09</v>
      </c>
    </row>
    <row r="6" spans="1:2" x14ac:dyDescent="0.3">
      <c r="A6" s="5" t="s">
        <v>17</v>
      </c>
      <c r="B6" s="7">
        <v>242845.38999999996</v>
      </c>
    </row>
    <row r="7" spans="1:2" x14ac:dyDescent="0.3">
      <c r="A7" s="5" t="s">
        <v>20</v>
      </c>
      <c r="B7" s="7">
        <v>153518.56999999998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E933-29D6-4F17-B5A6-339CC15595F3}">
  <dimension ref="A3:B7"/>
  <sheetViews>
    <sheetView workbookViewId="0">
      <selection activeCell="B4" sqref="B4"/>
    </sheetView>
  </sheetViews>
  <sheetFormatPr defaultRowHeight="14.4" x14ac:dyDescent="0.3"/>
  <cols>
    <col min="1" max="1" width="12.5546875" bestFit="1" customWidth="1"/>
    <col min="2" max="2" width="14.44140625" bestFit="1" customWidth="1"/>
  </cols>
  <sheetData>
    <row r="3" spans="1:2" x14ac:dyDescent="0.3">
      <c r="A3" s="4" t="s">
        <v>21</v>
      </c>
      <c r="B3" t="s">
        <v>23</v>
      </c>
    </row>
    <row r="4" spans="1:2" x14ac:dyDescent="0.3">
      <c r="A4" s="5" t="s">
        <v>15</v>
      </c>
      <c r="B4" s="7">
        <v>167880.66000000012</v>
      </c>
    </row>
    <row r="5" spans="1:2" x14ac:dyDescent="0.3">
      <c r="A5" s="5" t="s">
        <v>19</v>
      </c>
      <c r="B5" s="7">
        <v>193308.66000000006</v>
      </c>
    </row>
    <row r="6" spans="1:2" x14ac:dyDescent="0.3">
      <c r="A6" s="5" t="s">
        <v>11</v>
      </c>
      <c r="B6" s="7">
        <v>155808.36000000004</v>
      </c>
    </row>
    <row r="7" spans="1:2" x14ac:dyDescent="0.3">
      <c r="A7" s="5" t="s">
        <v>18</v>
      </c>
      <c r="B7" s="7">
        <v>163750.22999999992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70DC-9216-4437-9710-7743335CE75F}">
  <dimension ref="A3:B15"/>
  <sheetViews>
    <sheetView workbookViewId="0">
      <selection activeCell="K22" sqref="K22"/>
    </sheetView>
  </sheetViews>
  <sheetFormatPr defaultRowHeight="14.4" x14ac:dyDescent="0.3"/>
  <cols>
    <col min="1" max="1" width="12.5546875" bestFit="1" customWidth="1"/>
    <col min="2" max="2" width="14.44140625" bestFit="1" customWidth="1"/>
  </cols>
  <sheetData>
    <row r="3" spans="1:2" x14ac:dyDescent="0.3">
      <c r="A3" s="4" t="s">
        <v>21</v>
      </c>
      <c r="B3" t="s">
        <v>23</v>
      </c>
    </row>
    <row r="4" spans="1:2" x14ac:dyDescent="0.3">
      <c r="A4" s="5" t="s">
        <v>25</v>
      </c>
      <c r="B4" s="8">
        <v>73420.710000000006</v>
      </c>
    </row>
    <row r="5" spans="1:2" x14ac:dyDescent="0.3">
      <c r="A5" s="5" t="s">
        <v>26</v>
      </c>
      <c r="B5" s="8">
        <v>60889.25</v>
      </c>
    </row>
    <row r="6" spans="1:2" x14ac:dyDescent="0.3">
      <c r="A6" s="5" t="s">
        <v>27</v>
      </c>
      <c r="B6" s="8">
        <v>56652.020000000004</v>
      </c>
    </row>
    <row r="7" spans="1:2" x14ac:dyDescent="0.3">
      <c r="A7" s="5" t="s">
        <v>28</v>
      </c>
      <c r="B7" s="8">
        <v>56884.069999999971</v>
      </c>
    </row>
    <row r="8" spans="1:2" x14ac:dyDescent="0.3">
      <c r="A8" s="5" t="s">
        <v>29</v>
      </c>
      <c r="B8" s="8">
        <v>74111.7</v>
      </c>
    </row>
    <row r="9" spans="1:2" x14ac:dyDescent="0.3">
      <c r="A9" s="5" t="s">
        <v>30</v>
      </c>
      <c r="B9" s="8">
        <v>64929.98000000001</v>
      </c>
    </row>
    <row r="10" spans="1:2" x14ac:dyDescent="0.3">
      <c r="A10" s="5" t="s">
        <v>31</v>
      </c>
      <c r="B10" s="8">
        <v>56474.87999999999</v>
      </c>
    </row>
    <row r="11" spans="1:2" x14ac:dyDescent="0.3">
      <c r="A11" s="5" t="s">
        <v>32</v>
      </c>
      <c r="B11" s="8">
        <v>59258.98</v>
      </c>
    </row>
    <row r="12" spans="1:2" x14ac:dyDescent="0.3">
      <c r="A12" s="5" t="s">
        <v>33</v>
      </c>
      <c r="B12" s="8">
        <v>61767.39</v>
      </c>
    </row>
    <row r="13" spans="1:2" x14ac:dyDescent="0.3">
      <c r="A13" s="5" t="s">
        <v>34</v>
      </c>
      <c r="B13" s="8">
        <v>58565.530000000021</v>
      </c>
    </row>
    <row r="14" spans="1:2" x14ac:dyDescent="0.3">
      <c r="A14" s="5" t="s">
        <v>35</v>
      </c>
      <c r="B14" s="8">
        <v>32329.489999999998</v>
      </c>
    </row>
    <row r="15" spans="1:2" x14ac:dyDescent="0.3">
      <c r="A15" s="5" t="s">
        <v>36</v>
      </c>
      <c r="B15" s="8">
        <v>25463.910000000007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7B02-4A04-44C9-AF6C-DA5080A50C42}">
  <dimension ref="A1:B7"/>
  <sheetViews>
    <sheetView zoomScale="115" zoomScaleNormal="115" workbookViewId="0">
      <selection activeCell="M17" sqref="M17"/>
    </sheetView>
  </sheetViews>
  <sheetFormatPr defaultRowHeight="14.4" x14ac:dyDescent="0.3"/>
  <cols>
    <col min="1" max="1" width="16.21875" bestFit="1" customWidth="1"/>
    <col min="2" max="2" width="14.44140625" bestFit="1" customWidth="1"/>
    <col min="3" max="3" width="8" bestFit="1" customWidth="1"/>
    <col min="4" max="4" width="10" bestFit="1" customWidth="1"/>
    <col min="5" max="5" width="6.5546875" bestFit="1" customWidth="1"/>
    <col min="6" max="6" width="10.77734375" bestFit="1" customWidth="1"/>
    <col min="7" max="8" width="3" bestFit="1" customWidth="1"/>
    <col min="9" max="9" width="10.77734375" bestFit="1" customWidth="1"/>
    <col min="10" max="15" width="10" bestFit="1" customWidth="1"/>
    <col min="16" max="16" width="12.6640625" bestFit="1" customWidth="1"/>
    <col min="17" max="23" width="12" bestFit="1" customWidth="1"/>
    <col min="24" max="24" width="14.77734375" bestFit="1" customWidth="1"/>
    <col min="25" max="31" width="8" bestFit="1" customWidth="1"/>
    <col min="32" max="32" width="10.6640625" bestFit="1" customWidth="1"/>
    <col min="33" max="33" width="10.77734375" bestFit="1" customWidth="1"/>
  </cols>
  <sheetData>
    <row r="1" spans="1:2" x14ac:dyDescent="0.3">
      <c r="A1" s="4" t="s">
        <v>41</v>
      </c>
      <c r="B1" t="s">
        <v>42</v>
      </c>
    </row>
    <row r="3" spans="1:2" x14ac:dyDescent="0.3">
      <c r="A3" s="4" t="s">
        <v>21</v>
      </c>
      <c r="B3" t="s">
        <v>23</v>
      </c>
    </row>
    <row r="4" spans="1:2" x14ac:dyDescent="0.3">
      <c r="A4" s="5" t="s">
        <v>37</v>
      </c>
      <c r="B4" s="7">
        <v>190961.97999999995</v>
      </c>
    </row>
    <row r="5" spans="1:2" x14ac:dyDescent="0.3">
      <c r="A5" s="5" t="s">
        <v>38</v>
      </c>
      <c r="B5" s="7">
        <v>195925.74999999997</v>
      </c>
    </row>
    <row r="6" spans="1:2" x14ac:dyDescent="0.3">
      <c r="A6" s="5" t="s">
        <v>39</v>
      </c>
      <c r="B6" s="7">
        <v>177501.25000000015</v>
      </c>
    </row>
    <row r="7" spans="1:2" x14ac:dyDescent="0.3">
      <c r="A7" s="5" t="s">
        <v>40</v>
      </c>
      <c r="B7" s="7">
        <v>116358.93000000002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A005-BDEC-4163-99FF-D687791D8F34}">
  <dimension ref="A1:N670"/>
  <sheetViews>
    <sheetView tabSelected="1" topLeftCell="U1" zoomScale="110" workbookViewId="0">
      <selection activeCell="G11" sqref="G11"/>
    </sheetView>
  </sheetViews>
  <sheetFormatPr defaultRowHeight="14.4" x14ac:dyDescent="0.3"/>
  <cols>
    <col min="1" max="1" width="12.5546875" bestFit="1" customWidth="1"/>
    <col min="2" max="2" width="14.77734375" bestFit="1" customWidth="1"/>
    <col min="3" max="3" width="13" bestFit="1" customWidth="1"/>
    <col min="4" max="4" width="20.5546875" bestFit="1" customWidth="1"/>
    <col min="5" max="5" width="10.77734375" bestFit="1" customWidth="1"/>
    <col min="6" max="6" width="12.5546875" bestFit="1" customWidth="1"/>
    <col min="7" max="7" width="13.88671875" bestFit="1" customWidth="1"/>
    <col min="8" max="8" width="12.6640625" bestFit="1" customWidth="1"/>
    <col min="9" max="9" width="20.77734375" bestFit="1" customWidth="1"/>
    <col min="10" max="10" width="19.33203125" bestFit="1" customWidth="1"/>
    <col min="11" max="11" width="12.33203125" style="24" bestFit="1" customWidth="1"/>
  </cols>
  <sheetData>
    <row r="1" spans="1:14" x14ac:dyDescent="0.3">
      <c r="A1" s="1" t="s">
        <v>0</v>
      </c>
      <c r="B1" s="1" t="s">
        <v>1</v>
      </c>
      <c r="C1" s="1" t="s">
        <v>24</v>
      </c>
      <c r="D1" s="1" t="s">
        <v>2</v>
      </c>
      <c r="E1" s="1" t="s">
        <v>3</v>
      </c>
      <c r="F1" s="1" t="s">
        <v>4</v>
      </c>
      <c r="G1" s="1" t="s">
        <v>5</v>
      </c>
      <c r="H1" s="2" t="s">
        <v>6</v>
      </c>
      <c r="I1" s="1" t="s">
        <v>7</v>
      </c>
      <c r="J1" s="1" t="s">
        <v>8</v>
      </c>
      <c r="K1" s="23" t="s">
        <v>9</v>
      </c>
    </row>
    <row r="2" spans="1:14" x14ac:dyDescent="0.3">
      <c r="A2" s="1">
        <v>10001</v>
      </c>
      <c r="B2" s="3">
        <v>44562</v>
      </c>
      <c r="C2" s="3" t="str">
        <f>TEXT(Table1[[#This Row],[order_date]],"mmmm")</f>
        <v>January</v>
      </c>
      <c r="D2" s="1" t="s">
        <v>10</v>
      </c>
      <c r="E2" s="1" t="s">
        <v>11</v>
      </c>
      <c r="F2" s="1">
        <v>7</v>
      </c>
      <c r="G2" s="1">
        <v>373.65</v>
      </c>
      <c r="H2" s="2">
        <v>0.28000000000000003</v>
      </c>
      <c r="I2" s="1" t="s">
        <v>12</v>
      </c>
      <c r="J2" s="1">
        <v>4.7</v>
      </c>
      <c r="K2" s="23">
        <v>1883.2</v>
      </c>
    </row>
    <row r="3" spans="1:14" x14ac:dyDescent="0.3">
      <c r="A3" s="1">
        <v>10001</v>
      </c>
      <c r="B3" s="3">
        <v>44563</v>
      </c>
      <c r="C3" s="3" t="str">
        <f>TEXT(Table1[[#This Row],[order_date]],"mmmm")</f>
        <v>January</v>
      </c>
      <c r="D3" s="1" t="s">
        <v>13</v>
      </c>
      <c r="E3" s="1" t="s">
        <v>11</v>
      </c>
      <c r="F3" s="1">
        <v>7</v>
      </c>
      <c r="G3" s="1">
        <v>47.74</v>
      </c>
      <c r="H3" s="2">
        <v>0.09</v>
      </c>
      <c r="I3" s="1" t="s">
        <v>14</v>
      </c>
      <c r="J3" s="1">
        <v>3.9</v>
      </c>
      <c r="K3" s="23">
        <v>304.10000000000002</v>
      </c>
    </row>
    <row r="4" spans="1:14" x14ac:dyDescent="0.3">
      <c r="A4" s="1">
        <v>10001</v>
      </c>
      <c r="B4" s="3">
        <v>44564</v>
      </c>
      <c r="C4" s="3" t="str">
        <f>TEXT(Table1[[#This Row],[order_date]],"mmmm")</f>
        <v>January</v>
      </c>
      <c r="D4" s="1" t="s">
        <v>10</v>
      </c>
      <c r="E4" s="1" t="s">
        <v>15</v>
      </c>
      <c r="F4" s="1">
        <v>3</v>
      </c>
      <c r="G4" s="1">
        <v>311.27999999999997</v>
      </c>
      <c r="H4" s="2">
        <v>0.31</v>
      </c>
      <c r="I4" s="1" t="s">
        <v>16</v>
      </c>
      <c r="J4" s="1">
        <v>2.5</v>
      </c>
      <c r="K4" s="23">
        <v>644.35</v>
      </c>
    </row>
    <row r="5" spans="1:14" x14ac:dyDescent="0.3">
      <c r="A5" s="1">
        <v>10001</v>
      </c>
      <c r="B5" s="3">
        <v>44565</v>
      </c>
      <c r="C5" s="3" t="str">
        <f>TEXT(Table1[[#This Row],[order_date]],"mmmm")</f>
        <v>January</v>
      </c>
      <c r="D5" s="1" t="s">
        <v>17</v>
      </c>
      <c r="E5" s="1" t="s">
        <v>18</v>
      </c>
      <c r="F5" s="1">
        <v>5</v>
      </c>
      <c r="G5" s="1">
        <v>524.47</v>
      </c>
      <c r="H5" s="2">
        <v>0.02</v>
      </c>
      <c r="I5" s="1" t="s">
        <v>12</v>
      </c>
      <c r="J5" s="1">
        <v>1.6</v>
      </c>
      <c r="K5" s="23">
        <v>2569.9</v>
      </c>
    </row>
    <row r="6" spans="1:14" x14ac:dyDescent="0.3">
      <c r="A6" s="1">
        <v>10001</v>
      </c>
      <c r="B6" s="3">
        <v>44566</v>
      </c>
      <c r="C6" s="3" t="str">
        <f>TEXT(Table1[[#This Row],[order_date]],"mmmm")</f>
        <v>January</v>
      </c>
      <c r="D6" s="1" t="s">
        <v>13</v>
      </c>
      <c r="E6" s="1" t="s">
        <v>18</v>
      </c>
      <c r="F6" s="1">
        <v>5</v>
      </c>
      <c r="G6" s="1">
        <v>139.87</v>
      </c>
      <c r="H6" s="2">
        <v>0.33</v>
      </c>
      <c r="I6" s="1" t="s">
        <v>12</v>
      </c>
      <c r="J6" s="1">
        <v>4.9000000000000004</v>
      </c>
      <c r="K6" s="23">
        <v>468.56</v>
      </c>
      <c r="N6" s="25"/>
    </row>
    <row r="7" spans="1:14" x14ac:dyDescent="0.3">
      <c r="A7" s="1">
        <v>10001</v>
      </c>
      <c r="B7" s="3">
        <v>44567</v>
      </c>
      <c r="C7" s="3" t="str">
        <f>TEXT(Table1[[#This Row],[order_date]],"mmmm")</f>
        <v>January</v>
      </c>
      <c r="D7" s="1" t="s">
        <v>17</v>
      </c>
      <c r="E7" s="1" t="s">
        <v>18</v>
      </c>
      <c r="F7" s="1">
        <v>2</v>
      </c>
      <c r="G7" s="1">
        <v>264.44</v>
      </c>
      <c r="H7" s="2">
        <v>0.2</v>
      </c>
      <c r="I7" s="1" t="s">
        <v>14</v>
      </c>
      <c r="J7" s="1">
        <v>3.3</v>
      </c>
      <c r="K7" s="23">
        <v>423.1</v>
      </c>
      <c r="N7" s="25"/>
    </row>
    <row r="8" spans="1:14" x14ac:dyDescent="0.3">
      <c r="A8" s="1">
        <v>10001</v>
      </c>
      <c r="B8" s="3">
        <v>44568</v>
      </c>
      <c r="C8" s="3" t="str">
        <f>TEXT(Table1[[#This Row],[order_date]],"mmmm")</f>
        <v>January</v>
      </c>
      <c r="D8" s="1" t="s">
        <v>13</v>
      </c>
      <c r="E8" s="1" t="s">
        <v>11</v>
      </c>
      <c r="F8" s="1">
        <v>6</v>
      </c>
      <c r="G8" s="1">
        <v>564.6</v>
      </c>
      <c r="H8" s="2">
        <v>0.23</v>
      </c>
      <c r="I8" s="1" t="s">
        <v>14</v>
      </c>
      <c r="J8" s="1">
        <v>1.8</v>
      </c>
      <c r="K8" s="23">
        <v>2608.4499999999998</v>
      </c>
      <c r="N8" s="25"/>
    </row>
    <row r="9" spans="1:14" x14ac:dyDescent="0.3">
      <c r="A9" s="1">
        <v>10001</v>
      </c>
      <c r="B9" s="3">
        <v>44569</v>
      </c>
      <c r="C9" s="3" t="str">
        <f>TEXT(Table1[[#This Row],[order_date]],"mmmm")</f>
        <v>January</v>
      </c>
      <c r="D9" s="1" t="s">
        <v>10</v>
      </c>
      <c r="E9" s="1" t="s">
        <v>19</v>
      </c>
      <c r="F9" s="1">
        <v>6</v>
      </c>
      <c r="G9" s="1">
        <v>265.70999999999998</v>
      </c>
      <c r="H9" s="2">
        <v>0.13</v>
      </c>
      <c r="I9" s="1" t="s">
        <v>14</v>
      </c>
      <c r="J9" s="1">
        <v>3.7</v>
      </c>
      <c r="K9" s="23">
        <v>1387.01</v>
      </c>
      <c r="N9" s="25"/>
    </row>
    <row r="10" spans="1:14" x14ac:dyDescent="0.3">
      <c r="A10" s="1">
        <v>10001</v>
      </c>
      <c r="B10" s="3">
        <v>44570</v>
      </c>
      <c r="C10" s="3" t="str">
        <f>TEXT(Table1[[#This Row],[order_date]],"mmmm")</f>
        <v>January</v>
      </c>
      <c r="D10" s="1" t="s">
        <v>13</v>
      </c>
      <c r="E10" s="1" t="s">
        <v>11</v>
      </c>
      <c r="F10" s="1">
        <v>6</v>
      </c>
      <c r="G10" s="1">
        <v>224.65</v>
      </c>
      <c r="H10" s="2">
        <v>0.27</v>
      </c>
      <c r="I10" s="1" t="s">
        <v>14</v>
      </c>
      <c r="J10" s="1">
        <v>1.4</v>
      </c>
      <c r="K10" s="23">
        <v>983.97</v>
      </c>
      <c r="N10" s="25"/>
    </row>
    <row r="11" spans="1:14" x14ac:dyDescent="0.3">
      <c r="A11" s="1">
        <v>10010</v>
      </c>
      <c r="B11" s="3">
        <v>44571</v>
      </c>
      <c r="C11" s="3" t="str">
        <f>TEXT(Table1[[#This Row],[order_date]],"mmmm")</f>
        <v>January</v>
      </c>
      <c r="D11" s="1" t="s">
        <v>13</v>
      </c>
      <c r="E11" s="1" t="s">
        <v>18</v>
      </c>
      <c r="F11" s="1">
        <v>4</v>
      </c>
      <c r="G11" s="1">
        <v>272.70999999999998</v>
      </c>
      <c r="H11" s="2">
        <v>0.06</v>
      </c>
      <c r="I11" s="1" t="s">
        <v>14</v>
      </c>
      <c r="J11" s="1">
        <v>4.5</v>
      </c>
      <c r="K11" s="23">
        <v>1025.3900000000001</v>
      </c>
      <c r="N11" s="25"/>
    </row>
    <row r="12" spans="1:14" x14ac:dyDescent="0.3">
      <c r="A12" s="1">
        <v>10011</v>
      </c>
      <c r="B12" s="3">
        <v>44572</v>
      </c>
      <c r="C12" s="3" t="str">
        <f>TEXT(Table1[[#This Row],[order_date]],"mmmm")</f>
        <v>January</v>
      </c>
      <c r="D12" s="1" t="s">
        <v>13</v>
      </c>
      <c r="E12" s="1" t="s">
        <v>18</v>
      </c>
      <c r="F12" s="1">
        <v>6</v>
      </c>
      <c r="G12" s="1">
        <v>318.88</v>
      </c>
      <c r="H12" s="2">
        <v>0.02</v>
      </c>
      <c r="I12" s="1" t="s">
        <v>16</v>
      </c>
      <c r="J12" s="1">
        <v>1.4</v>
      </c>
      <c r="K12" s="23">
        <v>1875.01</v>
      </c>
      <c r="N12" s="25"/>
    </row>
    <row r="13" spans="1:14" x14ac:dyDescent="0.3">
      <c r="A13" s="1">
        <v>10012</v>
      </c>
      <c r="B13" s="3">
        <v>44573</v>
      </c>
      <c r="C13" s="3" t="str">
        <f>TEXT(Table1[[#This Row],[order_date]],"mmmm")</f>
        <v>January</v>
      </c>
      <c r="D13" s="1" t="s">
        <v>17</v>
      </c>
      <c r="E13" s="1" t="s">
        <v>18</v>
      </c>
      <c r="F13" s="1">
        <v>3</v>
      </c>
      <c r="G13" s="1">
        <v>384.71</v>
      </c>
      <c r="H13" s="2">
        <v>0.14000000000000001</v>
      </c>
      <c r="I13" s="1" t="s">
        <v>16</v>
      </c>
      <c r="J13" s="1">
        <v>1.9</v>
      </c>
      <c r="K13" s="23">
        <v>992.55</v>
      </c>
      <c r="N13" s="25"/>
    </row>
    <row r="14" spans="1:14" x14ac:dyDescent="0.3">
      <c r="A14" s="1">
        <v>10013</v>
      </c>
      <c r="B14" s="3">
        <v>44574</v>
      </c>
      <c r="C14" s="3" t="str">
        <f>TEXT(Table1[[#This Row],[order_date]],"mmmm")</f>
        <v>January</v>
      </c>
      <c r="D14" s="1" t="s">
        <v>10</v>
      </c>
      <c r="E14" s="1" t="s">
        <v>11</v>
      </c>
      <c r="F14" s="1">
        <v>7</v>
      </c>
      <c r="G14" s="1">
        <v>483.41</v>
      </c>
      <c r="H14" s="2">
        <v>0.3</v>
      </c>
      <c r="I14" s="1" t="s">
        <v>16</v>
      </c>
      <c r="J14" s="1">
        <v>1.4</v>
      </c>
      <c r="K14" s="23">
        <v>2368.71</v>
      </c>
      <c r="N14" s="25"/>
    </row>
    <row r="15" spans="1:14" x14ac:dyDescent="0.3">
      <c r="A15" s="1">
        <v>10014</v>
      </c>
      <c r="B15" s="3">
        <v>44575</v>
      </c>
      <c r="C15" s="3" t="str">
        <f>TEXT(Table1[[#This Row],[order_date]],"mmmm")</f>
        <v>January</v>
      </c>
      <c r="D15" s="1" t="s">
        <v>13</v>
      </c>
      <c r="E15" s="1" t="s">
        <v>18</v>
      </c>
      <c r="F15" s="1">
        <v>7</v>
      </c>
      <c r="G15" s="1">
        <v>279.48</v>
      </c>
      <c r="H15" s="2">
        <v>0.26</v>
      </c>
      <c r="I15" s="1" t="s">
        <v>16</v>
      </c>
      <c r="J15" s="1">
        <v>1.4</v>
      </c>
      <c r="K15" s="23">
        <v>1447.71</v>
      </c>
      <c r="N15" s="25"/>
    </row>
    <row r="16" spans="1:14" x14ac:dyDescent="0.3">
      <c r="A16" s="1">
        <v>10015</v>
      </c>
      <c r="B16" s="3">
        <v>44576</v>
      </c>
      <c r="C16" s="3" t="str">
        <f>TEXT(Table1[[#This Row],[order_date]],"mmmm")</f>
        <v>January</v>
      </c>
      <c r="D16" s="1" t="s">
        <v>13</v>
      </c>
      <c r="E16" s="1" t="s">
        <v>15</v>
      </c>
      <c r="F16" s="1">
        <v>4</v>
      </c>
      <c r="G16" s="1">
        <v>493.23</v>
      </c>
      <c r="H16" s="2">
        <v>0.18</v>
      </c>
      <c r="I16" s="1" t="s">
        <v>14</v>
      </c>
      <c r="J16" s="1">
        <v>3.1</v>
      </c>
      <c r="K16" s="23">
        <v>1617.79</v>
      </c>
      <c r="N16" s="25"/>
    </row>
    <row r="17" spans="1:14" x14ac:dyDescent="0.3">
      <c r="A17" s="1">
        <v>10016</v>
      </c>
      <c r="B17" s="3">
        <v>44577</v>
      </c>
      <c r="C17" s="3" t="str">
        <f>TEXT(Table1[[#This Row],[order_date]],"mmmm")</f>
        <v>January</v>
      </c>
      <c r="D17" s="1" t="s">
        <v>13</v>
      </c>
      <c r="E17" s="1" t="s">
        <v>18</v>
      </c>
      <c r="F17" s="1">
        <v>2</v>
      </c>
      <c r="G17" s="1">
        <v>327.23</v>
      </c>
      <c r="H17" s="2">
        <v>0.2</v>
      </c>
      <c r="I17" s="1" t="s">
        <v>12</v>
      </c>
      <c r="J17" s="1">
        <v>3.7</v>
      </c>
      <c r="K17" s="23">
        <v>523.57000000000005</v>
      </c>
      <c r="N17" s="25"/>
    </row>
    <row r="18" spans="1:14" x14ac:dyDescent="0.3">
      <c r="A18" s="1">
        <v>10017</v>
      </c>
      <c r="B18" s="3">
        <v>44578</v>
      </c>
      <c r="C18" s="3" t="str">
        <f>TEXT(Table1[[#This Row],[order_date]],"mmmm")</f>
        <v>January</v>
      </c>
      <c r="D18" s="1" t="s">
        <v>13</v>
      </c>
      <c r="E18" s="1" t="s">
        <v>19</v>
      </c>
      <c r="F18" s="1">
        <v>3</v>
      </c>
      <c r="G18" s="1">
        <v>213.01</v>
      </c>
      <c r="H18" s="2">
        <v>0.05</v>
      </c>
      <c r="I18" s="1" t="s">
        <v>12</v>
      </c>
      <c r="J18" s="1">
        <v>4.2</v>
      </c>
      <c r="K18" s="23">
        <v>607.08000000000004</v>
      </c>
      <c r="N18" s="25"/>
    </row>
    <row r="19" spans="1:14" x14ac:dyDescent="0.3">
      <c r="A19" s="1">
        <v>10018</v>
      </c>
      <c r="B19" s="3">
        <v>44579</v>
      </c>
      <c r="C19" s="3" t="str">
        <f>TEXT(Table1[[#This Row],[order_date]],"mmmm")</f>
        <v>January</v>
      </c>
      <c r="D19" s="1" t="s">
        <v>17</v>
      </c>
      <c r="E19" s="1" t="s">
        <v>15</v>
      </c>
      <c r="F19" s="1">
        <v>7</v>
      </c>
      <c r="G19" s="1">
        <v>399.9</v>
      </c>
      <c r="H19" s="2">
        <v>0.28999999999999998</v>
      </c>
      <c r="I19" s="1" t="s">
        <v>16</v>
      </c>
      <c r="J19" s="1">
        <v>3.8</v>
      </c>
      <c r="K19" s="23">
        <v>1987.5</v>
      </c>
    </row>
    <row r="20" spans="1:14" x14ac:dyDescent="0.3">
      <c r="A20" s="1">
        <v>10019</v>
      </c>
      <c r="B20" s="3">
        <v>44580</v>
      </c>
      <c r="C20" s="3" t="str">
        <f>TEXT(Table1[[#This Row],[order_date]],"mmmm")</f>
        <v>January</v>
      </c>
      <c r="D20" s="1" t="s">
        <v>20</v>
      </c>
      <c r="E20" s="1" t="s">
        <v>18</v>
      </c>
      <c r="F20" s="1">
        <v>3</v>
      </c>
      <c r="G20" s="1">
        <v>434.87</v>
      </c>
      <c r="H20" s="2">
        <v>0.28000000000000003</v>
      </c>
      <c r="I20" s="1" t="s">
        <v>12</v>
      </c>
      <c r="J20" s="1">
        <v>2.5</v>
      </c>
      <c r="K20" s="23">
        <v>939.32</v>
      </c>
    </row>
    <row r="21" spans="1:14" x14ac:dyDescent="0.3">
      <c r="A21" s="1">
        <v>10020</v>
      </c>
      <c r="B21" s="3">
        <v>44581</v>
      </c>
      <c r="C21" s="3" t="str">
        <f>TEXT(Table1[[#This Row],[order_date]],"mmmm")</f>
        <v>January</v>
      </c>
      <c r="D21" s="1" t="s">
        <v>17</v>
      </c>
      <c r="E21" s="1" t="s">
        <v>15</v>
      </c>
      <c r="F21" s="1">
        <v>7</v>
      </c>
      <c r="G21" s="1">
        <v>341.46</v>
      </c>
      <c r="H21" s="2">
        <v>0.23</v>
      </c>
      <c r="I21" s="1" t="s">
        <v>14</v>
      </c>
      <c r="J21" s="1">
        <v>3.2</v>
      </c>
      <c r="K21" s="23">
        <v>1840.47</v>
      </c>
    </row>
    <row r="22" spans="1:14" x14ac:dyDescent="0.3">
      <c r="A22" s="1">
        <v>10021</v>
      </c>
      <c r="B22" s="3">
        <v>44582</v>
      </c>
      <c r="C22" s="3" t="str">
        <f>TEXT(Table1[[#This Row],[order_date]],"mmmm")</f>
        <v>January</v>
      </c>
      <c r="D22" s="1" t="s">
        <v>20</v>
      </c>
      <c r="E22" s="1" t="s">
        <v>18</v>
      </c>
      <c r="F22" s="1">
        <v>1</v>
      </c>
      <c r="G22" s="1">
        <v>48.12</v>
      </c>
      <c r="H22" s="2">
        <v>0.16</v>
      </c>
      <c r="I22" s="1" t="s">
        <v>16</v>
      </c>
      <c r="J22" s="1">
        <v>4.7</v>
      </c>
      <c r="K22" s="23">
        <v>40.42</v>
      </c>
    </row>
    <row r="23" spans="1:14" x14ac:dyDescent="0.3">
      <c r="A23" s="1">
        <v>10022</v>
      </c>
      <c r="B23" s="3">
        <v>44583</v>
      </c>
      <c r="C23" s="3" t="str">
        <f>TEXT(Table1[[#This Row],[order_date]],"mmmm")</f>
        <v>January</v>
      </c>
      <c r="D23" s="1" t="s">
        <v>20</v>
      </c>
      <c r="E23" s="1" t="s">
        <v>19</v>
      </c>
      <c r="F23" s="1">
        <v>2</v>
      </c>
      <c r="G23" s="1">
        <v>114.38</v>
      </c>
      <c r="H23" s="2">
        <v>0.34</v>
      </c>
      <c r="I23" s="1" t="s">
        <v>14</v>
      </c>
      <c r="J23" s="1">
        <v>2.6</v>
      </c>
      <c r="K23" s="23">
        <v>150.97999999999999</v>
      </c>
    </row>
    <row r="24" spans="1:14" x14ac:dyDescent="0.3">
      <c r="A24" s="1">
        <v>10023</v>
      </c>
      <c r="B24" s="3">
        <v>44584</v>
      </c>
      <c r="C24" s="3" t="str">
        <f>TEXT(Table1[[#This Row],[order_date]],"mmmm")</f>
        <v>January</v>
      </c>
      <c r="D24" s="1" t="s">
        <v>20</v>
      </c>
      <c r="E24" s="1" t="s">
        <v>18</v>
      </c>
      <c r="F24" s="1">
        <v>2</v>
      </c>
      <c r="G24" s="1">
        <v>181.9</v>
      </c>
      <c r="H24" s="2">
        <v>0.31</v>
      </c>
      <c r="I24" s="1" t="s">
        <v>14</v>
      </c>
      <c r="J24" s="1">
        <v>2</v>
      </c>
      <c r="K24" s="23">
        <v>251.02</v>
      </c>
    </row>
    <row r="25" spans="1:14" x14ac:dyDescent="0.3">
      <c r="A25" s="1">
        <v>10024</v>
      </c>
      <c r="B25" s="3">
        <v>44585</v>
      </c>
      <c r="C25" s="3" t="str">
        <f>TEXT(Table1[[#This Row],[order_date]],"mmmm")</f>
        <v>January</v>
      </c>
      <c r="D25" s="1" t="s">
        <v>13</v>
      </c>
      <c r="E25" s="1" t="s">
        <v>15</v>
      </c>
      <c r="F25" s="1">
        <v>1</v>
      </c>
      <c r="G25" s="1">
        <v>180.34</v>
      </c>
      <c r="H25" s="2">
        <v>0.23</v>
      </c>
      <c r="I25" s="1" t="s">
        <v>14</v>
      </c>
      <c r="J25" s="1">
        <v>3.1</v>
      </c>
      <c r="K25" s="23">
        <v>138.86000000000001</v>
      </c>
    </row>
    <row r="26" spans="1:14" x14ac:dyDescent="0.3">
      <c r="A26" s="1">
        <v>10025</v>
      </c>
      <c r="B26" s="3">
        <v>44586</v>
      </c>
      <c r="C26" s="3" t="str">
        <f>TEXT(Table1[[#This Row],[order_date]],"mmmm")</f>
        <v>January</v>
      </c>
      <c r="D26" s="1" t="s">
        <v>13</v>
      </c>
      <c r="E26" s="1" t="s">
        <v>19</v>
      </c>
      <c r="F26" s="1">
        <v>4</v>
      </c>
      <c r="G26" s="1">
        <v>408.95</v>
      </c>
      <c r="H26" s="2">
        <v>0.13</v>
      </c>
      <c r="I26" s="1" t="s">
        <v>16</v>
      </c>
      <c r="J26" s="1">
        <v>2.2000000000000002</v>
      </c>
      <c r="K26" s="23">
        <v>1423.15</v>
      </c>
    </row>
    <row r="27" spans="1:14" x14ac:dyDescent="0.3">
      <c r="A27" s="1">
        <v>10026</v>
      </c>
      <c r="B27" s="3">
        <v>44587</v>
      </c>
      <c r="C27" s="3" t="str">
        <f>TEXT(Table1[[#This Row],[order_date]],"mmmm")</f>
        <v>January</v>
      </c>
      <c r="D27" s="1" t="s">
        <v>17</v>
      </c>
      <c r="E27" s="1" t="s">
        <v>11</v>
      </c>
      <c r="F27" s="1">
        <v>7</v>
      </c>
      <c r="G27" s="1">
        <v>25.73</v>
      </c>
      <c r="H27" s="2">
        <v>0.22</v>
      </c>
      <c r="I27" s="1" t="s">
        <v>14</v>
      </c>
      <c r="J27" s="1">
        <v>2</v>
      </c>
      <c r="K27" s="23">
        <v>140.49</v>
      </c>
    </row>
    <row r="28" spans="1:14" x14ac:dyDescent="0.3">
      <c r="A28" s="1">
        <v>10027</v>
      </c>
      <c r="B28" s="3">
        <v>44588</v>
      </c>
      <c r="C28" s="3" t="str">
        <f>TEXT(Table1[[#This Row],[order_date]],"mmmm")</f>
        <v>January</v>
      </c>
      <c r="D28" s="1" t="s">
        <v>20</v>
      </c>
      <c r="E28" s="1" t="s">
        <v>19</v>
      </c>
      <c r="F28" s="1">
        <v>7</v>
      </c>
      <c r="G28" s="1">
        <v>457.07</v>
      </c>
      <c r="H28" s="2">
        <v>0.2</v>
      </c>
      <c r="I28" s="1" t="s">
        <v>16</v>
      </c>
      <c r="J28" s="1">
        <v>4.0999999999999996</v>
      </c>
      <c r="K28" s="23">
        <v>2559.59</v>
      </c>
    </row>
    <row r="29" spans="1:14" x14ac:dyDescent="0.3">
      <c r="A29" s="1">
        <v>10028</v>
      </c>
      <c r="B29" s="3">
        <v>44589</v>
      </c>
      <c r="C29" s="3" t="str">
        <f>TEXT(Table1[[#This Row],[order_date]],"mmmm")</f>
        <v>January</v>
      </c>
      <c r="D29" s="1" t="s">
        <v>17</v>
      </c>
      <c r="E29" s="1" t="s">
        <v>19</v>
      </c>
      <c r="F29" s="1">
        <v>7</v>
      </c>
      <c r="G29" s="1">
        <v>170.23</v>
      </c>
      <c r="H29" s="2">
        <v>0.14000000000000001</v>
      </c>
      <c r="I29" s="1" t="s">
        <v>14</v>
      </c>
      <c r="J29" s="1">
        <v>4.5999999999999996</v>
      </c>
      <c r="K29" s="23">
        <v>1024.78</v>
      </c>
    </row>
    <row r="30" spans="1:14" x14ac:dyDescent="0.3">
      <c r="A30" s="1">
        <v>10029</v>
      </c>
      <c r="B30" s="3">
        <v>44590</v>
      </c>
      <c r="C30" s="3" t="str">
        <f>TEXT(Table1[[#This Row],[order_date]],"mmmm")</f>
        <v>January</v>
      </c>
      <c r="D30" s="1" t="s">
        <v>13</v>
      </c>
      <c r="E30" s="1" t="s">
        <v>19</v>
      </c>
      <c r="F30" s="1">
        <v>6</v>
      </c>
      <c r="G30" s="1">
        <v>196.36</v>
      </c>
      <c r="H30" s="2">
        <v>0.11</v>
      </c>
      <c r="I30" s="1" t="s">
        <v>12</v>
      </c>
      <c r="J30" s="1">
        <v>3</v>
      </c>
      <c r="K30" s="23">
        <v>1048.56</v>
      </c>
    </row>
    <row r="31" spans="1:14" x14ac:dyDescent="0.3">
      <c r="A31" s="1">
        <v>10030</v>
      </c>
      <c r="B31" s="3">
        <v>44591</v>
      </c>
      <c r="C31" s="3" t="str">
        <f>TEXT(Table1[[#This Row],[order_date]],"mmmm")</f>
        <v>January</v>
      </c>
      <c r="D31" s="1" t="s">
        <v>17</v>
      </c>
      <c r="E31" s="1" t="s">
        <v>15</v>
      </c>
      <c r="F31" s="1">
        <v>6</v>
      </c>
      <c r="G31" s="1">
        <v>323.83</v>
      </c>
      <c r="H31" s="2">
        <v>0.14000000000000001</v>
      </c>
      <c r="I31" s="1" t="s">
        <v>16</v>
      </c>
      <c r="J31" s="1">
        <v>4.0999999999999996</v>
      </c>
      <c r="K31" s="23">
        <v>1670.96</v>
      </c>
    </row>
    <row r="32" spans="1:14" x14ac:dyDescent="0.3">
      <c r="A32" s="1">
        <v>10031</v>
      </c>
      <c r="B32" s="3">
        <v>44592</v>
      </c>
      <c r="C32" s="3" t="str">
        <f>TEXT(Table1[[#This Row],[order_date]],"mmmm")</f>
        <v>January</v>
      </c>
      <c r="D32" s="1" t="s">
        <v>17</v>
      </c>
      <c r="E32" s="1" t="s">
        <v>19</v>
      </c>
      <c r="F32" s="1">
        <v>6</v>
      </c>
      <c r="G32" s="1">
        <v>141.32</v>
      </c>
      <c r="H32" s="2">
        <v>0.2</v>
      </c>
      <c r="I32" s="1" t="s">
        <v>14</v>
      </c>
      <c r="J32" s="1">
        <v>1.7</v>
      </c>
      <c r="K32" s="23">
        <v>678.34</v>
      </c>
    </row>
    <row r="33" spans="1:11" x14ac:dyDescent="0.3">
      <c r="A33" s="1">
        <v>10032</v>
      </c>
      <c r="B33" s="3">
        <v>44593</v>
      </c>
      <c r="C33" s="3" t="str">
        <f>TEXT(Table1[[#This Row],[order_date]],"mmmm")</f>
        <v>February</v>
      </c>
      <c r="D33" s="1" t="s">
        <v>13</v>
      </c>
      <c r="E33" s="1" t="s">
        <v>18</v>
      </c>
      <c r="F33" s="1">
        <v>6</v>
      </c>
      <c r="G33" s="1">
        <v>532.41999999999996</v>
      </c>
      <c r="H33" s="2">
        <v>0.15</v>
      </c>
      <c r="I33" s="1" t="s">
        <v>14</v>
      </c>
      <c r="J33" s="1">
        <v>3.2</v>
      </c>
      <c r="K33" s="23">
        <v>2715.34</v>
      </c>
    </row>
    <row r="34" spans="1:11" x14ac:dyDescent="0.3">
      <c r="A34" s="1">
        <v>10033</v>
      </c>
      <c r="B34" s="3">
        <v>44594</v>
      </c>
      <c r="C34" s="3" t="str">
        <f>TEXT(Table1[[#This Row],[order_date]],"mmmm")</f>
        <v>February</v>
      </c>
      <c r="D34" s="1" t="s">
        <v>17</v>
      </c>
      <c r="E34" s="1" t="s">
        <v>19</v>
      </c>
      <c r="F34" s="1">
        <v>6</v>
      </c>
      <c r="G34" s="1">
        <v>64.94</v>
      </c>
      <c r="H34" s="2">
        <v>0.09</v>
      </c>
      <c r="I34" s="1" t="s">
        <v>12</v>
      </c>
      <c r="J34" s="1">
        <v>3.5</v>
      </c>
      <c r="K34" s="23">
        <v>354.57</v>
      </c>
    </row>
    <row r="35" spans="1:11" x14ac:dyDescent="0.3">
      <c r="A35" s="1">
        <v>10034</v>
      </c>
      <c r="B35" s="3">
        <v>44595</v>
      </c>
      <c r="C35" s="3" t="str">
        <f>TEXT(Table1[[#This Row],[order_date]],"mmmm")</f>
        <v>February</v>
      </c>
      <c r="D35" s="1" t="s">
        <v>20</v>
      </c>
      <c r="E35" s="1" t="s">
        <v>19</v>
      </c>
      <c r="F35" s="1">
        <v>1</v>
      </c>
      <c r="G35" s="1">
        <v>274.95999999999998</v>
      </c>
      <c r="H35" s="2">
        <v>0.27</v>
      </c>
      <c r="I35" s="1" t="s">
        <v>14</v>
      </c>
      <c r="J35" s="1">
        <v>3</v>
      </c>
      <c r="K35" s="23">
        <v>200.72</v>
      </c>
    </row>
    <row r="36" spans="1:11" x14ac:dyDescent="0.3">
      <c r="A36" s="1">
        <v>10035</v>
      </c>
      <c r="B36" s="3">
        <v>44596</v>
      </c>
      <c r="C36" s="3" t="str">
        <f>TEXT(Table1[[#This Row],[order_date]],"mmmm")</f>
        <v>February</v>
      </c>
      <c r="D36" s="1" t="s">
        <v>17</v>
      </c>
      <c r="E36" s="1" t="s">
        <v>18</v>
      </c>
      <c r="F36" s="1">
        <v>2</v>
      </c>
      <c r="G36" s="1">
        <v>511.91</v>
      </c>
      <c r="H36" s="2">
        <v>0.19</v>
      </c>
      <c r="I36" s="1" t="s">
        <v>16</v>
      </c>
      <c r="J36" s="1">
        <v>1.5</v>
      </c>
      <c r="K36" s="23">
        <v>829.29</v>
      </c>
    </row>
    <row r="37" spans="1:11" x14ac:dyDescent="0.3">
      <c r="A37" s="1">
        <v>10036</v>
      </c>
      <c r="B37" s="3">
        <v>44597</v>
      </c>
      <c r="C37" s="3" t="str">
        <f>TEXT(Table1[[#This Row],[order_date]],"mmmm")</f>
        <v>February</v>
      </c>
      <c r="D37" s="1" t="s">
        <v>17</v>
      </c>
      <c r="E37" s="1" t="s">
        <v>18</v>
      </c>
      <c r="F37" s="1">
        <v>4</v>
      </c>
      <c r="G37" s="1">
        <v>375.27</v>
      </c>
      <c r="H37" s="2">
        <v>0.02</v>
      </c>
      <c r="I37" s="1" t="s">
        <v>16</v>
      </c>
      <c r="J37" s="1">
        <v>3.9</v>
      </c>
      <c r="K37" s="23">
        <v>1471.06</v>
      </c>
    </row>
    <row r="38" spans="1:11" x14ac:dyDescent="0.3">
      <c r="A38" s="1">
        <v>10037</v>
      </c>
      <c r="B38" s="3">
        <v>44598</v>
      </c>
      <c r="C38" s="3" t="str">
        <f>TEXT(Table1[[#This Row],[order_date]],"mmmm")</f>
        <v>February</v>
      </c>
      <c r="D38" s="1" t="s">
        <v>13</v>
      </c>
      <c r="E38" s="1" t="s">
        <v>11</v>
      </c>
      <c r="F38" s="1">
        <v>3</v>
      </c>
      <c r="G38" s="1">
        <v>186.01</v>
      </c>
      <c r="H38" s="2">
        <v>0.13</v>
      </c>
      <c r="I38" s="1" t="s">
        <v>14</v>
      </c>
      <c r="J38" s="1">
        <v>4.4000000000000004</v>
      </c>
      <c r="K38" s="23">
        <v>485.49</v>
      </c>
    </row>
    <row r="39" spans="1:11" x14ac:dyDescent="0.3">
      <c r="A39" s="1">
        <v>10038</v>
      </c>
      <c r="B39" s="3">
        <v>44599</v>
      </c>
      <c r="C39" s="3" t="str">
        <f>TEXT(Table1[[#This Row],[order_date]],"mmmm")</f>
        <v>February</v>
      </c>
      <c r="D39" s="1" t="s">
        <v>17</v>
      </c>
      <c r="E39" s="1" t="s">
        <v>19</v>
      </c>
      <c r="F39" s="1">
        <v>6</v>
      </c>
      <c r="G39" s="1">
        <v>261.14</v>
      </c>
      <c r="H39" s="2">
        <v>0.31</v>
      </c>
      <c r="I39" s="1" t="s">
        <v>14</v>
      </c>
      <c r="J39" s="1">
        <v>3.5</v>
      </c>
      <c r="K39" s="23">
        <v>1081.1199999999999</v>
      </c>
    </row>
    <row r="40" spans="1:11" x14ac:dyDescent="0.3">
      <c r="A40" s="1">
        <v>10039</v>
      </c>
      <c r="B40" s="3">
        <v>44600</v>
      </c>
      <c r="C40" s="3" t="str">
        <f>TEXT(Table1[[#This Row],[order_date]],"mmmm")</f>
        <v>February</v>
      </c>
      <c r="D40" s="1" t="s">
        <v>17</v>
      </c>
      <c r="E40" s="1" t="s">
        <v>15</v>
      </c>
      <c r="F40" s="1">
        <v>1</v>
      </c>
      <c r="G40" s="1">
        <v>428.42</v>
      </c>
      <c r="H40" s="2">
        <v>0.26</v>
      </c>
      <c r="I40" s="1" t="s">
        <v>16</v>
      </c>
      <c r="J40" s="1">
        <v>1.7</v>
      </c>
      <c r="K40" s="23">
        <v>317.02999999999997</v>
      </c>
    </row>
    <row r="41" spans="1:11" x14ac:dyDescent="0.3">
      <c r="A41" s="1">
        <v>10040</v>
      </c>
      <c r="B41" s="3">
        <v>44601</v>
      </c>
      <c r="C41" s="3" t="str">
        <f>TEXT(Table1[[#This Row],[order_date]],"mmmm")</f>
        <v>February</v>
      </c>
      <c r="D41" s="1" t="s">
        <v>20</v>
      </c>
      <c r="E41" s="1" t="s">
        <v>19</v>
      </c>
      <c r="F41" s="1">
        <v>7</v>
      </c>
      <c r="G41" s="1">
        <v>584.36</v>
      </c>
      <c r="H41" s="2">
        <v>0.11</v>
      </c>
      <c r="I41" s="1" t="s">
        <v>14</v>
      </c>
      <c r="J41" s="1">
        <v>1.3</v>
      </c>
      <c r="K41" s="23">
        <v>3640.56</v>
      </c>
    </row>
    <row r="42" spans="1:11" x14ac:dyDescent="0.3">
      <c r="A42" s="1">
        <v>10041</v>
      </c>
      <c r="B42" s="3">
        <v>44602</v>
      </c>
      <c r="C42" s="3" t="str">
        <f>TEXT(Table1[[#This Row],[order_date]],"mmmm")</f>
        <v>February</v>
      </c>
      <c r="D42" s="1" t="s">
        <v>17</v>
      </c>
      <c r="E42" s="1" t="s">
        <v>19</v>
      </c>
      <c r="F42" s="1">
        <v>4</v>
      </c>
      <c r="G42" s="1">
        <v>537.49</v>
      </c>
      <c r="H42" s="2">
        <v>0.33</v>
      </c>
      <c r="I42" s="1" t="s">
        <v>14</v>
      </c>
      <c r="J42" s="1">
        <v>2.2000000000000002</v>
      </c>
      <c r="K42" s="23">
        <v>1440.47</v>
      </c>
    </row>
    <row r="43" spans="1:11" x14ac:dyDescent="0.3">
      <c r="A43" s="1">
        <v>10042</v>
      </c>
      <c r="B43" s="3">
        <v>44603</v>
      </c>
      <c r="C43" s="3" t="str">
        <f>TEXT(Table1[[#This Row],[order_date]],"mmmm")</f>
        <v>February</v>
      </c>
      <c r="D43" s="1" t="s">
        <v>20</v>
      </c>
      <c r="E43" s="1" t="s">
        <v>18</v>
      </c>
      <c r="F43" s="1">
        <v>4</v>
      </c>
      <c r="G43" s="1">
        <v>215.32</v>
      </c>
      <c r="H43" s="2">
        <v>0.03</v>
      </c>
      <c r="I43" s="1" t="s">
        <v>14</v>
      </c>
      <c r="J43" s="1">
        <v>1.1000000000000001</v>
      </c>
      <c r="K43" s="23">
        <v>835.44</v>
      </c>
    </row>
    <row r="44" spans="1:11" x14ac:dyDescent="0.3">
      <c r="A44" s="1">
        <v>10043</v>
      </c>
      <c r="B44" s="3">
        <v>44604</v>
      </c>
      <c r="C44" s="3" t="str">
        <f>TEXT(Table1[[#This Row],[order_date]],"mmmm")</f>
        <v>February</v>
      </c>
      <c r="D44" s="1" t="s">
        <v>17</v>
      </c>
      <c r="E44" s="1" t="s">
        <v>11</v>
      </c>
      <c r="F44" s="1">
        <v>4</v>
      </c>
      <c r="G44" s="1">
        <v>598.95000000000005</v>
      </c>
      <c r="H44" s="2">
        <v>0.34</v>
      </c>
      <c r="I44" s="1" t="s">
        <v>14</v>
      </c>
      <c r="J44" s="1">
        <v>4.4000000000000004</v>
      </c>
      <c r="K44" s="23">
        <v>1581.23</v>
      </c>
    </row>
    <row r="45" spans="1:11" x14ac:dyDescent="0.3">
      <c r="A45" s="1">
        <v>10044</v>
      </c>
      <c r="B45" s="3">
        <v>44605</v>
      </c>
      <c r="C45" s="3" t="str">
        <f>TEXT(Table1[[#This Row],[order_date]],"mmmm")</f>
        <v>February</v>
      </c>
      <c r="D45" s="1" t="s">
        <v>17</v>
      </c>
      <c r="E45" s="1" t="s">
        <v>19</v>
      </c>
      <c r="F45" s="1">
        <v>1</v>
      </c>
      <c r="G45" s="1">
        <v>17.05</v>
      </c>
      <c r="H45" s="2">
        <v>0.09</v>
      </c>
      <c r="I45" s="1" t="s">
        <v>14</v>
      </c>
      <c r="J45" s="1">
        <v>3.8</v>
      </c>
      <c r="K45" s="23">
        <v>15.52</v>
      </c>
    </row>
    <row r="46" spans="1:11" x14ac:dyDescent="0.3">
      <c r="A46" s="1">
        <v>10045</v>
      </c>
      <c r="B46" s="3">
        <v>44606</v>
      </c>
      <c r="C46" s="3" t="str">
        <f>TEXT(Table1[[#This Row],[order_date]],"mmmm")</f>
        <v>February</v>
      </c>
      <c r="D46" s="1" t="s">
        <v>20</v>
      </c>
      <c r="E46" s="1" t="s">
        <v>15</v>
      </c>
      <c r="F46" s="1">
        <v>3</v>
      </c>
      <c r="G46" s="1">
        <v>31.16</v>
      </c>
      <c r="H46" s="2">
        <v>0</v>
      </c>
      <c r="I46" s="1" t="s">
        <v>12</v>
      </c>
      <c r="J46" s="1">
        <v>3.3</v>
      </c>
      <c r="K46" s="23">
        <v>93.48</v>
      </c>
    </row>
    <row r="47" spans="1:11" x14ac:dyDescent="0.3">
      <c r="A47" s="1">
        <v>10046</v>
      </c>
      <c r="B47" s="3">
        <v>44607</v>
      </c>
      <c r="C47" s="3" t="str">
        <f>TEXT(Table1[[#This Row],[order_date]],"mmmm")</f>
        <v>February</v>
      </c>
      <c r="D47" s="1" t="s">
        <v>17</v>
      </c>
      <c r="E47" s="1" t="s">
        <v>19</v>
      </c>
      <c r="F47" s="1">
        <v>6</v>
      </c>
      <c r="G47" s="1">
        <v>496.95</v>
      </c>
      <c r="H47" s="2">
        <v>0.15</v>
      </c>
      <c r="I47" s="1" t="s">
        <v>16</v>
      </c>
      <c r="J47" s="1">
        <v>4.5999999999999996</v>
      </c>
      <c r="K47" s="23">
        <v>2534.44</v>
      </c>
    </row>
    <row r="48" spans="1:11" x14ac:dyDescent="0.3">
      <c r="A48" s="1">
        <v>10047</v>
      </c>
      <c r="B48" s="3">
        <v>44608</v>
      </c>
      <c r="C48" s="3" t="str">
        <f>TEXT(Table1[[#This Row],[order_date]],"mmmm")</f>
        <v>February</v>
      </c>
      <c r="D48" s="1" t="s">
        <v>17</v>
      </c>
      <c r="E48" s="1" t="s">
        <v>15</v>
      </c>
      <c r="F48" s="1">
        <v>4</v>
      </c>
      <c r="G48" s="1">
        <v>131.69</v>
      </c>
      <c r="H48" s="2">
        <v>0.13</v>
      </c>
      <c r="I48" s="1" t="s">
        <v>16</v>
      </c>
      <c r="J48" s="1">
        <v>1.4</v>
      </c>
      <c r="K48" s="23">
        <v>458.28</v>
      </c>
    </row>
    <row r="49" spans="1:11" x14ac:dyDescent="0.3">
      <c r="A49" s="1">
        <v>10048</v>
      </c>
      <c r="B49" s="3">
        <v>44609</v>
      </c>
      <c r="C49" s="3" t="str">
        <f>TEXT(Table1[[#This Row],[order_date]],"mmmm")</f>
        <v>February</v>
      </c>
      <c r="D49" s="1" t="s">
        <v>13</v>
      </c>
      <c r="E49" s="1" t="s">
        <v>18</v>
      </c>
      <c r="F49" s="1">
        <v>1</v>
      </c>
      <c r="G49" s="1">
        <v>50.55</v>
      </c>
      <c r="H49" s="2">
        <v>0.19</v>
      </c>
      <c r="I49" s="1" t="s">
        <v>14</v>
      </c>
      <c r="J49" s="1">
        <v>3.9</v>
      </c>
      <c r="K49" s="23">
        <v>40.950000000000003</v>
      </c>
    </row>
    <row r="50" spans="1:11" x14ac:dyDescent="0.3">
      <c r="A50" s="1">
        <v>10049</v>
      </c>
      <c r="B50" s="3">
        <v>44610</v>
      </c>
      <c r="C50" s="3" t="str">
        <f>TEXT(Table1[[#This Row],[order_date]],"mmmm")</f>
        <v>February</v>
      </c>
      <c r="D50" s="1" t="s">
        <v>17</v>
      </c>
      <c r="E50" s="1" t="s">
        <v>11</v>
      </c>
      <c r="F50" s="1">
        <v>7</v>
      </c>
      <c r="G50" s="1">
        <v>153.72999999999999</v>
      </c>
      <c r="H50" s="2">
        <v>0.28000000000000003</v>
      </c>
      <c r="I50" s="1" t="s">
        <v>14</v>
      </c>
      <c r="J50" s="1">
        <v>1.6</v>
      </c>
      <c r="K50" s="23">
        <v>774.8</v>
      </c>
    </row>
    <row r="51" spans="1:11" x14ac:dyDescent="0.3">
      <c r="A51" s="1">
        <v>10050</v>
      </c>
      <c r="B51" s="3">
        <v>44611</v>
      </c>
      <c r="C51" s="3" t="str">
        <f>TEXT(Table1[[#This Row],[order_date]],"mmmm")</f>
        <v>February</v>
      </c>
      <c r="D51" s="1" t="s">
        <v>20</v>
      </c>
      <c r="E51" s="1" t="s">
        <v>19</v>
      </c>
      <c r="F51" s="1">
        <v>2</v>
      </c>
      <c r="G51" s="1">
        <v>264.27</v>
      </c>
      <c r="H51" s="2">
        <v>0.28999999999999998</v>
      </c>
      <c r="I51" s="1" t="s">
        <v>12</v>
      </c>
      <c r="J51" s="1">
        <v>1.2</v>
      </c>
      <c r="K51" s="23">
        <v>375.26</v>
      </c>
    </row>
    <row r="52" spans="1:11" x14ac:dyDescent="0.3">
      <c r="A52" s="1">
        <v>10051</v>
      </c>
      <c r="B52" s="3">
        <v>44612</v>
      </c>
      <c r="C52" s="3" t="str">
        <f>TEXT(Table1[[#This Row],[order_date]],"mmmm")</f>
        <v>February</v>
      </c>
      <c r="D52" s="1" t="s">
        <v>17</v>
      </c>
      <c r="E52" s="1" t="s">
        <v>11</v>
      </c>
      <c r="F52" s="1">
        <v>7</v>
      </c>
      <c r="G52" s="1">
        <v>442.38</v>
      </c>
      <c r="H52" s="2">
        <v>0.14000000000000001</v>
      </c>
      <c r="I52" s="1" t="s">
        <v>16</v>
      </c>
      <c r="J52" s="1">
        <v>1.5</v>
      </c>
      <c r="K52" s="23">
        <v>2663.13</v>
      </c>
    </row>
    <row r="53" spans="1:11" x14ac:dyDescent="0.3">
      <c r="A53" s="1">
        <v>10052</v>
      </c>
      <c r="B53" s="3">
        <v>44613</v>
      </c>
      <c r="C53" s="3" t="str">
        <f>TEXT(Table1[[#This Row],[order_date]],"mmmm")</f>
        <v>February</v>
      </c>
      <c r="D53" s="1" t="s">
        <v>20</v>
      </c>
      <c r="E53" s="1" t="s">
        <v>19</v>
      </c>
      <c r="F53" s="1">
        <v>1</v>
      </c>
      <c r="G53" s="1">
        <v>380.24</v>
      </c>
      <c r="H53" s="2">
        <v>0.15</v>
      </c>
      <c r="I53" s="1" t="s">
        <v>14</v>
      </c>
      <c r="J53" s="1">
        <v>4.8</v>
      </c>
      <c r="K53" s="23">
        <v>323.2</v>
      </c>
    </row>
    <row r="54" spans="1:11" x14ac:dyDescent="0.3">
      <c r="A54" s="1">
        <v>10053</v>
      </c>
      <c r="B54" s="3">
        <v>44614</v>
      </c>
      <c r="C54" s="3" t="str">
        <f>TEXT(Table1[[#This Row],[order_date]],"mmmm")</f>
        <v>February</v>
      </c>
      <c r="D54" s="1" t="s">
        <v>10</v>
      </c>
      <c r="E54" s="1" t="s">
        <v>15</v>
      </c>
      <c r="F54" s="1">
        <v>1</v>
      </c>
      <c r="G54" s="1">
        <v>154.01</v>
      </c>
      <c r="H54" s="2">
        <v>0.05</v>
      </c>
      <c r="I54" s="1" t="s">
        <v>14</v>
      </c>
      <c r="J54" s="1">
        <v>2.8</v>
      </c>
      <c r="K54" s="23">
        <v>146.31</v>
      </c>
    </row>
    <row r="55" spans="1:11" x14ac:dyDescent="0.3">
      <c r="A55" s="1">
        <v>10054</v>
      </c>
      <c r="B55" s="3">
        <v>44615</v>
      </c>
      <c r="C55" s="3" t="str">
        <f>TEXT(Table1[[#This Row],[order_date]],"mmmm")</f>
        <v>February</v>
      </c>
      <c r="D55" s="1" t="s">
        <v>13</v>
      </c>
      <c r="E55" s="1" t="s">
        <v>11</v>
      </c>
      <c r="F55" s="1">
        <v>1</v>
      </c>
      <c r="G55" s="1">
        <v>309.41000000000003</v>
      </c>
      <c r="H55" s="2">
        <v>0.02</v>
      </c>
      <c r="I55" s="1" t="s">
        <v>16</v>
      </c>
      <c r="J55" s="1">
        <v>1.2</v>
      </c>
      <c r="K55" s="23">
        <v>303.22000000000003</v>
      </c>
    </row>
    <row r="56" spans="1:11" x14ac:dyDescent="0.3">
      <c r="A56" s="1">
        <v>10055</v>
      </c>
      <c r="B56" s="3">
        <v>44616</v>
      </c>
      <c r="C56" s="3" t="str">
        <f>TEXT(Table1[[#This Row],[order_date]],"mmmm")</f>
        <v>February</v>
      </c>
      <c r="D56" s="1" t="s">
        <v>10</v>
      </c>
      <c r="E56" s="1" t="s">
        <v>19</v>
      </c>
      <c r="F56" s="1">
        <v>4</v>
      </c>
      <c r="G56" s="1">
        <v>556.84</v>
      </c>
      <c r="H56" s="2">
        <v>0.22</v>
      </c>
      <c r="I56" s="1" t="s">
        <v>12</v>
      </c>
      <c r="J56" s="1">
        <v>3.3</v>
      </c>
      <c r="K56" s="23">
        <v>1737.34</v>
      </c>
    </row>
    <row r="57" spans="1:11" x14ac:dyDescent="0.3">
      <c r="A57" s="1">
        <v>10056</v>
      </c>
      <c r="B57" s="3">
        <v>44617</v>
      </c>
      <c r="C57" s="3" t="str">
        <f>TEXT(Table1[[#This Row],[order_date]],"mmmm")</f>
        <v>February</v>
      </c>
      <c r="D57" s="1" t="s">
        <v>13</v>
      </c>
      <c r="E57" s="1" t="s">
        <v>18</v>
      </c>
      <c r="F57" s="1">
        <v>1</v>
      </c>
      <c r="G57" s="1">
        <v>491.78</v>
      </c>
      <c r="H57" s="2">
        <v>0.02</v>
      </c>
      <c r="I57" s="1" t="s">
        <v>14</v>
      </c>
      <c r="J57" s="1">
        <v>1.8</v>
      </c>
      <c r="K57" s="23">
        <v>481.94</v>
      </c>
    </row>
    <row r="58" spans="1:11" x14ac:dyDescent="0.3">
      <c r="A58" s="1">
        <v>10057</v>
      </c>
      <c r="B58" s="3">
        <v>44618</v>
      </c>
      <c r="C58" s="3" t="str">
        <f>TEXT(Table1[[#This Row],[order_date]],"mmmm")</f>
        <v>February</v>
      </c>
      <c r="D58" s="1" t="s">
        <v>10</v>
      </c>
      <c r="E58" s="1" t="s">
        <v>15</v>
      </c>
      <c r="F58" s="1">
        <v>2</v>
      </c>
      <c r="G58" s="1">
        <v>204.07</v>
      </c>
      <c r="H58" s="2">
        <v>0.26</v>
      </c>
      <c r="I58" s="1" t="s">
        <v>16</v>
      </c>
      <c r="J58" s="1">
        <v>1</v>
      </c>
      <c r="K58" s="23">
        <v>302.02</v>
      </c>
    </row>
    <row r="59" spans="1:11" x14ac:dyDescent="0.3">
      <c r="A59" s="1">
        <v>10058</v>
      </c>
      <c r="B59" s="3">
        <v>44619</v>
      </c>
      <c r="C59" s="3" t="str">
        <f>TEXT(Table1[[#This Row],[order_date]],"mmmm")</f>
        <v>February</v>
      </c>
      <c r="D59" s="1" t="s">
        <v>17</v>
      </c>
      <c r="E59" s="1" t="s">
        <v>11</v>
      </c>
      <c r="F59" s="1">
        <v>4</v>
      </c>
      <c r="G59" s="1">
        <v>589.62</v>
      </c>
      <c r="H59" s="2">
        <v>0.19</v>
      </c>
      <c r="I59" s="1" t="s">
        <v>16</v>
      </c>
      <c r="J59" s="1">
        <v>4</v>
      </c>
      <c r="K59" s="23">
        <v>1910.37</v>
      </c>
    </row>
    <row r="60" spans="1:11" x14ac:dyDescent="0.3">
      <c r="A60" s="1">
        <v>10059</v>
      </c>
      <c r="B60" s="3">
        <v>44620</v>
      </c>
      <c r="C60" s="3" t="str">
        <f>TEXT(Table1[[#This Row],[order_date]],"mmmm")</f>
        <v>February</v>
      </c>
      <c r="D60" s="1" t="s">
        <v>20</v>
      </c>
      <c r="E60" s="1" t="s">
        <v>19</v>
      </c>
      <c r="F60" s="1">
        <v>7</v>
      </c>
      <c r="G60" s="1">
        <v>429.54</v>
      </c>
      <c r="H60" s="2">
        <v>7.0000000000000007E-2</v>
      </c>
      <c r="I60" s="1" t="s">
        <v>12</v>
      </c>
      <c r="J60" s="1">
        <v>1.6</v>
      </c>
      <c r="K60" s="23">
        <v>2796.31</v>
      </c>
    </row>
    <row r="61" spans="1:11" x14ac:dyDescent="0.3">
      <c r="A61" s="1">
        <v>10060</v>
      </c>
      <c r="B61" s="3">
        <v>44621</v>
      </c>
      <c r="C61" s="3" t="str">
        <f>TEXT(Table1[[#This Row],[order_date]],"mmmm")</f>
        <v>March</v>
      </c>
      <c r="D61" s="1" t="s">
        <v>13</v>
      </c>
      <c r="E61" s="1" t="s">
        <v>11</v>
      </c>
      <c r="F61" s="1">
        <v>2</v>
      </c>
      <c r="G61" s="1">
        <v>51.53</v>
      </c>
      <c r="H61" s="2">
        <v>0.19</v>
      </c>
      <c r="I61" s="1" t="s">
        <v>12</v>
      </c>
      <c r="J61" s="1">
        <v>4.8</v>
      </c>
      <c r="K61" s="23">
        <v>83.48</v>
      </c>
    </row>
    <row r="62" spans="1:11" x14ac:dyDescent="0.3">
      <c r="A62" s="1">
        <v>10061</v>
      </c>
      <c r="B62" s="3">
        <v>44622</v>
      </c>
      <c r="C62" s="3" t="str">
        <f>TEXT(Table1[[#This Row],[order_date]],"mmmm")</f>
        <v>March</v>
      </c>
      <c r="D62" s="1" t="s">
        <v>13</v>
      </c>
      <c r="E62" s="1" t="s">
        <v>19</v>
      </c>
      <c r="F62" s="1">
        <v>5</v>
      </c>
      <c r="G62" s="1">
        <v>35.57</v>
      </c>
      <c r="H62" s="2">
        <v>0.06</v>
      </c>
      <c r="I62" s="1" t="s">
        <v>14</v>
      </c>
      <c r="J62" s="1">
        <v>3.4</v>
      </c>
      <c r="K62" s="23">
        <v>167.18</v>
      </c>
    </row>
    <row r="63" spans="1:11" x14ac:dyDescent="0.3">
      <c r="A63" s="1">
        <v>10062</v>
      </c>
      <c r="B63" s="3">
        <v>44623</v>
      </c>
      <c r="C63" s="3" t="str">
        <f>TEXT(Table1[[#This Row],[order_date]],"mmmm")</f>
        <v>March</v>
      </c>
      <c r="D63" s="1" t="s">
        <v>13</v>
      </c>
      <c r="E63" s="1" t="s">
        <v>15</v>
      </c>
      <c r="F63" s="1">
        <v>7</v>
      </c>
      <c r="G63" s="1">
        <v>113.52</v>
      </c>
      <c r="H63" s="2">
        <v>0.15</v>
      </c>
      <c r="I63" s="1" t="s">
        <v>16</v>
      </c>
      <c r="J63" s="1">
        <v>1.3</v>
      </c>
      <c r="K63" s="23">
        <v>675.44</v>
      </c>
    </row>
    <row r="64" spans="1:11" x14ac:dyDescent="0.3">
      <c r="A64" s="1">
        <v>10063</v>
      </c>
      <c r="B64" s="3">
        <v>44624</v>
      </c>
      <c r="C64" s="3" t="str">
        <f>TEXT(Table1[[#This Row],[order_date]],"mmmm")</f>
        <v>March</v>
      </c>
      <c r="D64" s="1" t="s">
        <v>20</v>
      </c>
      <c r="E64" s="1" t="s">
        <v>18</v>
      </c>
      <c r="F64" s="1">
        <v>1</v>
      </c>
      <c r="G64" s="1">
        <v>440.8</v>
      </c>
      <c r="H64" s="2">
        <v>0.28000000000000003</v>
      </c>
      <c r="I64" s="1" t="s">
        <v>16</v>
      </c>
      <c r="J64" s="1">
        <v>1.9</v>
      </c>
      <c r="K64" s="23">
        <v>317.38</v>
      </c>
    </row>
    <row r="65" spans="1:11" x14ac:dyDescent="0.3">
      <c r="A65" s="1">
        <v>10064</v>
      </c>
      <c r="B65" s="3">
        <v>44625</v>
      </c>
      <c r="C65" s="3" t="str">
        <f>TEXT(Table1[[#This Row],[order_date]],"mmmm")</f>
        <v>March</v>
      </c>
      <c r="D65" s="1" t="s">
        <v>17</v>
      </c>
      <c r="E65" s="1" t="s">
        <v>15</v>
      </c>
      <c r="F65" s="1">
        <v>6</v>
      </c>
      <c r="G65" s="1">
        <v>122.49</v>
      </c>
      <c r="H65" s="2">
        <v>0.16</v>
      </c>
      <c r="I65" s="1" t="s">
        <v>16</v>
      </c>
      <c r="J65" s="1">
        <v>3.4</v>
      </c>
      <c r="K65" s="23">
        <v>617.35</v>
      </c>
    </row>
    <row r="66" spans="1:11" x14ac:dyDescent="0.3">
      <c r="A66" s="1">
        <v>10065</v>
      </c>
      <c r="B66" s="3">
        <v>44626</v>
      </c>
      <c r="C66" s="3" t="str">
        <f>TEXT(Table1[[#This Row],[order_date]],"mmmm")</f>
        <v>March</v>
      </c>
      <c r="D66" s="1" t="s">
        <v>17</v>
      </c>
      <c r="E66" s="1" t="s">
        <v>11</v>
      </c>
      <c r="F66" s="1">
        <v>6</v>
      </c>
      <c r="G66" s="1">
        <v>314.22000000000003</v>
      </c>
      <c r="H66" s="2">
        <v>0.05</v>
      </c>
      <c r="I66" s="1" t="s">
        <v>12</v>
      </c>
      <c r="J66" s="1">
        <v>2.4</v>
      </c>
      <c r="K66" s="23">
        <v>1791.05</v>
      </c>
    </row>
    <row r="67" spans="1:11" x14ac:dyDescent="0.3">
      <c r="A67" s="1">
        <v>10066</v>
      </c>
      <c r="B67" s="3">
        <v>44627</v>
      </c>
      <c r="C67" s="3" t="str">
        <f>TEXT(Table1[[#This Row],[order_date]],"mmmm")</f>
        <v>March</v>
      </c>
      <c r="D67" s="1" t="s">
        <v>20</v>
      </c>
      <c r="E67" s="1" t="s">
        <v>11</v>
      </c>
      <c r="F67" s="1">
        <v>4</v>
      </c>
      <c r="G67" s="1">
        <v>69.56</v>
      </c>
      <c r="H67" s="2">
        <v>0.25</v>
      </c>
      <c r="I67" s="1" t="s">
        <v>12</v>
      </c>
      <c r="J67" s="1">
        <v>3.1</v>
      </c>
      <c r="K67" s="23">
        <v>208.68</v>
      </c>
    </row>
    <row r="68" spans="1:11" x14ac:dyDescent="0.3">
      <c r="A68" s="1">
        <v>10067</v>
      </c>
      <c r="B68" s="3">
        <v>44628</v>
      </c>
      <c r="C68" s="3" t="str">
        <f>TEXT(Table1[[#This Row],[order_date]],"mmmm")</f>
        <v>March</v>
      </c>
      <c r="D68" s="1" t="s">
        <v>20</v>
      </c>
      <c r="E68" s="1" t="s">
        <v>19</v>
      </c>
      <c r="F68" s="1">
        <v>6</v>
      </c>
      <c r="G68" s="1">
        <v>553.72</v>
      </c>
      <c r="H68" s="2">
        <v>7.0000000000000007E-2</v>
      </c>
      <c r="I68" s="1" t="s">
        <v>14</v>
      </c>
      <c r="J68" s="1">
        <v>4.2</v>
      </c>
      <c r="K68" s="23">
        <v>3089.76</v>
      </c>
    </row>
    <row r="69" spans="1:11" x14ac:dyDescent="0.3">
      <c r="A69" s="1">
        <v>10068</v>
      </c>
      <c r="B69" s="3">
        <v>44629</v>
      </c>
      <c r="C69" s="3" t="str">
        <f>TEXT(Table1[[#This Row],[order_date]],"mmmm")</f>
        <v>March</v>
      </c>
      <c r="D69" s="1" t="s">
        <v>10</v>
      </c>
      <c r="E69" s="1" t="s">
        <v>15</v>
      </c>
      <c r="F69" s="1">
        <v>7</v>
      </c>
      <c r="G69" s="1">
        <v>216.22</v>
      </c>
      <c r="H69" s="2">
        <v>0.26</v>
      </c>
      <c r="I69" s="1" t="s">
        <v>14</v>
      </c>
      <c r="J69" s="1">
        <v>4.2</v>
      </c>
      <c r="K69" s="23">
        <v>1120.02</v>
      </c>
    </row>
    <row r="70" spans="1:11" x14ac:dyDescent="0.3">
      <c r="A70" s="1">
        <v>10069</v>
      </c>
      <c r="B70" s="3">
        <v>44630</v>
      </c>
      <c r="C70" s="3" t="str">
        <f>TEXT(Table1[[#This Row],[order_date]],"mmmm")</f>
        <v>March</v>
      </c>
      <c r="D70" s="1" t="s">
        <v>20</v>
      </c>
      <c r="E70" s="1" t="s">
        <v>19</v>
      </c>
      <c r="F70" s="1">
        <v>4</v>
      </c>
      <c r="G70" s="1">
        <v>546.26</v>
      </c>
      <c r="H70" s="2">
        <v>0.17</v>
      </c>
      <c r="I70" s="1" t="s">
        <v>16</v>
      </c>
      <c r="J70" s="1">
        <v>3.8</v>
      </c>
      <c r="K70" s="23">
        <v>1813.58</v>
      </c>
    </row>
    <row r="71" spans="1:11" x14ac:dyDescent="0.3">
      <c r="A71" s="1">
        <v>10070</v>
      </c>
      <c r="B71" s="3">
        <v>44631</v>
      </c>
      <c r="C71" s="3" t="str">
        <f>TEXT(Table1[[#This Row],[order_date]],"mmmm")</f>
        <v>March</v>
      </c>
      <c r="D71" s="1" t="s">
        <v>10</v>
      </c>
      <c r="E71" s="1" t="s">
        <v>15</v>
      </c>
      <c r="F71" s="1">
        <v>7</v>
      </c>
      <c r="G71" s="1">
        <v>567.75</v>
      </c>
      <c r="H71" s="2">
        <v>0.16</v>
      </c>
      <c r="I71" s="1" t="s">
        <v>14</v>
      </c>
      <c r="J71" s="1">
        <v>4.5</v>
      </c>
      <c r="K71" s="23">
        <v>3338.37</v>
      </c>
    </row>
    <row r="72" spans="1:11" x14ac:dyDescent="0.3">
      <c r="A72" s="1">
        <v>10071</v>
      </c>
      <c r="B72" s="3">
        <v>44632</v>
      </c>
      <c r="C72" s="3" t="str">
        <f>TEXT(Table1[[#This Row],[order_date]],"mmmm")</f>
        <v>March</v>
      </c>
      <c r="D72" s="1" t="s">
        <v>20</v>
      </c>
      <c r="E72" s="1" t="s">
        <v>11</v>
      </c>
      <c r="F72" s="1">
        <v>1</v>
      </c>
      <c r="G72" s="1">
        <v>18.59</v>
      </c>
      <c r="H72" s="2">
        <v>0.3</v>
      </c>
      <c r="I72" s="1" t="s">
        <v>14</v>
      </c>
      <c r="J72" s="1">
        <v>1.8</v>
      </c>
      <c r="K72" s="23">
        <v>13.01</v>
      </c>
    </row>
    <row r="73" spans="1:11" x14ac:dyDescent="0.3">
      <c r="A73" s="1">
        <v>10072</v>
      </c>
      <c r="B73" s="3">
        <v>44633</v>
      </c>
      <c r="C73" s="3" t="str">
        <f>TEXT(Table1[[#This Row],[order_date]],"mmmm")</f>
        <v>March</v>
      </c>
      <c r="D73" s="1" t="s">
        <v>17</v>
      </c>
      <c r="E73" s="1" t="s">
        <v>19</v>
      </c>
      <c r="F73" s="1">
        <v>3</v>
      </c>
      <c r="G73" s="1">
        <v>286.52</v>
      </c>
      <c r="H73" s="2">
        <v>0.25</v>
      </c>
      <c r="I73" s="1" t="s">
        <v>14</v>
      </c>
      <c r="J73" s="1">
        <v>1.7</v>
      </c>
      <c r="K73" s="23">
        <v>644.66999999999996</v>
      </c>
    </row>
    <row r="74" spans="1:11" x14ac:dyDescent="0.3">
      <c r="A74" s="1">
        <v>10073</v>
      </c>
      <c r="B74" s="3">
        <v>44634</v>
      </c>
      <c r="C74" s="3" t="str">
        <f>TEXT(Table1[[#This Row],[order_date]],"mmmm")</f>
        <v>March</v>
      </c>
      <c r="D74" s="1" t="s">
        <v>17</v>
      </c>
      <c r="E74" s="1" t="s">
        <v>19</v>
      </c>
      <c r="F74" s="1">
        <v>3</v>
      </c>
      <c r="G74" s="1">
        <v>29.42</v>
      </c>
      <c r="H74" s="2">
        <v>0.01</v>
      </c>
      <c r="I74" s="1" t="s">
        <v>12</v>
      </c>
      <c r="J74" s="1">
        <v>4.2</v>
      </c>
      <c r="K74" s="23">
        <v>87.38</v>
      </c>
    </row>
    <row r="75" spans="1:11" x14ac:dyDescent="0.3">
      <c r="A75" s="1">
        <v>10074</v>
      </c>
      <c r="B75" s="3">
        <v>44635</v>
      </c>
      <c r="C75" s="3" t="str">
        <f>TEXT(Table1[[#This Row],[order_date]],"mmmm")</f>
        <v>March</v>
      </c>
      <c r="D75" s="1" t="s">
        <v>20</v>
      </c>
      <c r="E75" s="1" t="s">
        <v>15</v>
      </c>
      <c r="F75" s="1">
        <v>2</v>
      </c>
      <c r="G75" s="1">
        <v>546.59</v>
      </c>
      <c r="H75" s="2">
        <v>0.1</v>
      </c>
      <c r="I75" s="1" t="s">
        <v>14</v>
      </c>
      <c r="J75" s="1">
        <v>2.2999999999999998</v>
      </c>
      <c r="K75" s="23">
        <v>983.86</v>
      </c>
    </row>
    <row r="76" spans="1:11" x14ac:dyDescent="0.3">
      <c r="A76" s="1">
        <v>10075</v>
      </c>
      <c r="B76" s="3">
        <v>44636</v>
      </c>
      <c r="C76" s="3" t="str">
        <f>TEXT(Table1[[#This Row],[order_date]],"mmmm")</f>
        <v>March</v>
      </c>
      <c r="D76" s="1" t="s">
        <v>13</v>
      </c>
      <c r="E76" s="1" t="s">
        <v>18</v>
      </c>
      <c r="F76" s="1">
        <v>1</v>
      </c>
      <c r="G76" s="1">
        <v>318.27</v>
      </c>
      <c r="H76" s="2">
        <v>0.3</v>
      </c>
      <c r="I76" s="1" t="s">
        <v>16</v>
      </c>
      <c r="J76" s="1">
        <v>3</v>
      </c>
      <c r="K76" s="23">
        <v>222.79</v>
      </c>
    </row>
    <row r="77" spans="1:11" x14ac:dyDescent="0.3">
      <c r="A77" s="1">
        <v>10076</v>
      </c>
      <c r="B77" s="3">
        <v>44637</v>
      </c>
      <c r="C77" s="3" t="str">
        <f>TEXT(Table1[[#This Row],[order_date]],"mmmm")</f>
        <v>March</v>
      </c>
      <c r="D77" s="1" t="s">
        <v>17</v>
      </c>
      <c r="E77" s="1" t="s">
        <v>15</v>
      </c>
      <c r="F77" s="1">
        <v>6</v>
      </c>
      <c r="G77" s="1">
        <v>58.84</v>
      </c>
      <c r="H77" s="2">
        <v>0.01</v>
      </c>
      <c r="I77" s="1" t="s">
        <v>14</v>
      </c>
      <c r="J77" s="1">
        <v>4</v>
      </c>
      <c r="K77" s="23">
        <v>349.51</v>
      </c>
    </row>
    <row r="78" spans="1:11" x14ac:dyDescent="0.3">
      <c r="A78" s="1">
        <v>10077</v>
      </c>
      <c r="B78" s="3">
        <v>44638</v>
      </c>
      <c r="C78" s="3" t="str">
        <f>TEXT(Table1[[#This Row],[order_date]],"mmmm")</f>
        <v>March</v>
      </c>
      <c r="D78" s="1" t="s">
        <v>13</v>
      </c>
      <c r="E78" s="1" t="s">
        <v>18</v>
      </c>
      <c r="F78" s="1">
        <v>1</v>
      </c>
      <c r="G78" s="1">
        <v>79.510000000000005</v>
      </c>
      <c r="H78" s="2">
        <v>0.19</v>
      </c>
      <c r="I78" s="1" t="s">
        <v>14</v>
      </c>
      <c r="J78" s="1">
        <v>2.6</v>
      </c>
      <c r="K78" s="23">
        <v>64.400000000000006</v>
      </c>
    </row>
    <row r="79" spans="1:11" x14ac:dyDescent="0.3">
      <c r="A79" s="1">
        <v>10078</v>
      </c>
      <c r="B79" s="3">
        <v>44639</v>
      </c>
      <c r="C79" s="3" t="str">
        <f>TEXT(Table1[[#This Row],[order_date]],"mmmm")</f>
        <v>March</v>
      </c>
      <c r="D79" s="1" t="s">
        <v>10</v>
      </c>
      <c r="E79" s="1" t="s">
        <v>15</v>
      </c>
      <c r="F79" s="1">
        <v>5</v>
      </c>
      <c r="G79" s="1">
        <v>239.35</v>
      </c>
      <c r="H79" s="2">
        <v>0.25</v>
      </c>
      <c r="I79" s="1" t="s">
        <v>14</v>
      </c>
      <c r="J79" s="1">
        <v>1.5</v>
      </c>
      <c r="K79" s="23">
        <v>897.56</v>
      </c>
    </row>
    <row r="80" spans="1:11" x14ac:dyDescent="0.3">
      <c r="A80" s="1">
        <v>10079</v>
      </c>
      <c r="B80" s="3">
        <v>44640</v>
      </c>
      <c r="C80" s="3" t="str">
        <f>TEXT(Table1[[#This Row],[order_date]],"mmmm")</f>
        <v>March</v>
      </c>
      <c r="D80" s="1" t="s">
        <v>13</v>
      </c>
      <c r="E80" s="1" t="s">
        <v>11</v>
      </c>
      <c r="F80" s="1">
        <v>3</v>
      </c>
      <c r="G80" s="1">
        <v>565.04</v>
      </c>
      <c r="H80" s="2">
        <v>0.22</v>
      </c>
      <c r="I80" s="1" t="s">
        <v>14</v>
      </c>
      <c r="J80" s="1">
        <v>3.7</v>
      </c>
      <c r="K80" s="23">
        <v>1322.19</v>
      </c>
    </row>
    <row r="81" spans="1:11" x14ac:dyDescent="0.3">
      <c r="A81" s="1">
        <v>10080</v>
      </c>
      <c r="B81" s="3">
        <v>44641</v>
      </c>
      <c r="C81" s="3" t="str">
        <f>TEXT(Table1[[#This Row],[order_date]],"mmmm")</f>
        <v>March</v>
      </c>
      <c r="D81" s="1" t="s">
        <v>13</v>
      </c>
      <c r="E81" s="1" t="s">
        <v>19</v>
      </c>
      <c r="F81" s="1">
        <v>6</v>
      </c>
      <c r="G81" s="1">
        <v>420.35</v>
      </c>
      <c r="H81" s="2">
        <v>0.27</v>
      </c>
      <c r="I81" s="1" t="s">
        <v>12</v>
      </c>
      <c r="J81" s="1">
        <v>4.3</v>
      </c>
      <c r="K81" s="23">
        <v>1841.13</v>
      </c>
    </row>
    <row r="82" spans="1:11" x14ac:dyDescent="0.3">
      <c r="A82" s="1">
        <v>10081</v>
      </c>
      <c r="B82" s="3">
        <v>44642</v>
      </c>
      <c r="C82" s="3" t="str">
        <f>TEXT(Table1[[#This Row],[order_date]],"mmmm")</f>
        <v>March</v>
      </c>
      <c r="D82" s="1" t="s">
        <v>13</v>
      </c>
      <c r="E82" s="1" t="s">
        <v>15</v>
      </c>
      <c r="F82" s="1">
        <v>7</v>
      </c>
      <c r="G82" s="1">
        <v>522.55999999999995</v>
      </c>
      <c r="H82" s="2">
        <v>0.25</v>
      </c>
      <c r="I82" s="1" t="s">
        <v>12</v>
      </c>
      <c r="J82" s="1">
        <v>1.1000000000000001</v>
      </c>
      <c r="K82" s="23">
        <v>2743.44</v>
      </c>
    </row>
    <row r="83" spans="1:11" x14ac:dyDescent="0.3">
      <c r="A83" s="1">
        <v>10082</v>
      </c>
      <c r="B83" s="3">
        <v>44643</v>
      </c>
      <c r="C83" s="3" t="str">
        <f>TEXT(Table1[[#This Row],[order_date]],"mmmm")</f>
        <v>March</v>
      </c>
      <c r="D83" s="1" t="s">
        <v>17</v>
      </c>
      <c r="E83" s="1" t="s">
        <v>11</v>
      </c>
      <c r="F83" s="1">
        <v>7</v>
      </c>
      <c r="G83" s="1">
        <v>229.38</v>
      </c>
      <c r="H83" s="2">
        <v>0.24</v>
      </c>
      <c r="I83" s="1" t="s">
        <v>16</v>
      </c>
      <c r="J83" s="1">
        <v>3.3</v>
      </c>
      <c r="K83" s="23">
        <v>1220.3</v>
      </c>
    </row>
    <row r="84" spans="1:11" x14ac:dyDescent="0.3">
      <c r="A84" s="1">
        <v>10083</v>
      </c>
      <c r="B84" s="3">
        <v>44644</v>
      </c>
      <c r="C84" s="3" t="str">
        <f>TEXT(Table1[[#This Row],[order_date]],"mmmm")</f>
        <v>March</v>
      </c>
      <c r="D84" s="1" t="s">
        <v>13</v>
      </c>
      <c r="E84" s="1" t="s">
        <v>15</v>
      </c>
      <c r="F84" s="1">
        <v>3</v>
      </c>
      <c r="G84" s="1">
        <v>40.28</v>
      </c>
      <c r="H84" s="2">
        <v>0.28999999999999998</v>
      </c>
      <c r="I84" s="1" t="s">
        <v>14</v>
      </c>
      <c r="J84" s="1">
        <v>2.9</v>
      </c>
      <c r="K84" s="23">
        <v>85.8</v>
      </c>
    </row>
    <row r="85" spans="1:11" x14ac:dyDescent="0.3">
      <c r="A85" s="1">
        <v>10084</v>
      </c>
      <c r="B85" s="3">
        <v>44645</v>
      </c>
      <c r="C85" s="3" t="str">
        <f>TEXT(Table1[[#This Row],[order_date]],"mmmm")</f>
        <v>March</v>
      </c>
      <c r="D85" s="1" t="s">
        <v>13</v>
      </c>
      <c r="E85" s="1" t="s">
        <v>19</v>
      </c>
      <c r="F85" s="1">
        <v>1</v>
      </c>
      <c r="G85" s="1">
        <v>584.98</v>
      </c>
      <c r="H85" s="2">
        <v>0.23</v>
      </c>
      <c r="I85" s="1" t="s">
        <v>16</v>
      </c>
      <c r="J85" s="1">
        <v>2</v>
      </c>
      <c r="K85" s="23">
        <v>450.43</v>
      </c>
    </row>
    <row r="86" spans="1:11" x14ac:dyDescent="0.3">
      <c r="A86" s="1">
        <v>10085</v>
      </c>
      <c r="B86" s="3">
        <v>44646</v>
      </c>
      <c r="C86" s="3" t="str">
        <f>TEXT(Table1[[#This Row],[order_date]],"mmmm")</f>
        <v>March</v>
      </c>
      <c r="D86" s="1" t="s">
        <v>17</v>
      </c>
      <c r="E86" s="1" t="s">
        <v>15</v>
      </c>
      <c r="F86" s="1">
        <v>6</v>
      </c>
      <c r="G86" s="1">
        <v>25.05</v>
      </c>
      <c r="H86" s="2">
        <v>0.14000000000000001</v>
      </c>
      <c r="I86" s="1" t="s">
        <v>14</v>
      </c>
      <c r="J86" s="1">
        <v>1.6</v>
      </c>
      <c r="K86" s="23">
        <v>129.26</v>
      </c>
    </row>
    <row r="87" spans="1:11" x14ac:dyDescent="0.3">
      <c r="A87" s="1">
        <v>10086</v>
      </c>
      <c r="B87" s="3">
        <v>44647</v>
      </c>
      <c r="C87" s="3" t="str">
        <f>TEXT(Table1[[#This Row],[order_date]],"mmmm")</f>
        <v>March</v>
      </c>
      <c r="D87" s="1" t="s">
        <v>20</v>
      </c>
      <c r="E87" s="1" t="s">
        <v>18</v>
      </c>
      <c r="F87" s="1">
        <v>2</v>
      </c>
      <c r="G87" s="1">
        <v>569.38</v>
      </c>
      <c r="H87" s="2">
        <v>0.17</v>
      </c>
      <c r="I87" s="1" t="s">
        <v>14</v>
      </c>
      <c r="J87" s="1">
        <v>1.8</v>
      </c>
      <c r="K87" s="23">
        <v>945.17</v>
      </c>
    </row>
    <row r="88" spans="1:11" x14ac:dyDescent="0.3">
      <c r="A88" s="1">
        <v>10087</v>
      </c>
      <c r="B88" s="3">
        <v>44648</v>
      </c>
      <c r="C88" s="3" t="str">
        <f>TEXT(Table1[[#This Row],[order_date]],"mmmm")</f>
        <v>March</v>
      </c>
      <c r="D88" s="1" t="s">
        <v>13</v>
      </c>
      <c r="E88" s="1" t="s">
        <v>19</v>
      </c>
      <c r="F88" s="1">
        <v>7</v>
      </c>
      <c r="G88" s="1">
        <v>230.68</v>
      </c>
      <c r="H88" s="2">
        <v>0.25</v>
      </c>
      <c r="I88" s="1" t="s">
        <v>16</v>
      </c>
      <c r="J88" s="1">
        <v>3.9</v>
      </c>
      <c r="K88" s="23">
        <v>1211.07</v>
      </c>
    </row>
    <row r="89" spans="1:11" x14ac:dyDescent="0.3">
      <c r="A89" s="1">
        <v>10088</v>
      </c>
      <c r="B89" s="3">
        <v>44649</v>
      </c>
      <c r="C89" s="3" t="str">
        <f>TEXT(Table1[[#This Row],[order_date]],"mmmm")</f>
        <v>March</v>
      </c>
      <c r="D89" s="1" t="s">
        <v>20</v>
      </c>
      <c r="E89" s="1" t="s">
        <v>18</v>
      </c>
      <c r="F89" s="1">
        <v>1</v>
      </c>
      <c r="G89" s="1">
        <v>20.9</v>
      </c>
      <c r="H89" s="2">
        <v>0.31</v>
      </c>
      <c r="I89" s="1" t="s">
        <v>16</v>
      </c>
      <c r="J89" s="1">
        <v>3.1</v>
      </c>
      <c r="K89" s="23">
        <v>14.42</v>
      </c>
    </row>
    <row r="90" spans="1:11" x14ac:dyDescent="0.3">
      <c r="A90" s="1">
        <v>10089</v>
      </c>
      <c r="B90" s="3">
        <v>44650</v>
      </c>
      <c r="C90" s="3" t="str">
        <f>TEXT(Table1[[#This Row],[order_date]],"mmmm")</f>
        <v>March</v>
      </c>
      <c r="D90" s="1" t="s">
        <v>10</v>
      </c>
      <c r="E90" s="1" t="s">
        <v>11</v>
      </c>
      <c r="F90" s="1">
        <v>2</v>
      </c>
      <c r="G90" s="1">
        <v>418.16</v>
      </c>
      <c r="H90" s="2">
        <v>0.1</v>
      </c>
      <c r="I90" s="1" t="s">
        <v>14</v>
      </c>
      <c r="J90" s="1">
        <v>4.9000000000000004</v>
      </c>
      <c r="K90" s="23">
        <v>752.69</v>
      </c>
    </row>
    <row r="91" spans="1:11" x14ac:dyDescent="0.3">
      <c r="A91" s="1">
        <v>10090</v>
      </c>
      <c r="B91" s="3">
        <v>44651</v>
      </c>
      <c r="C91" s="3" t="str">
        <f>TEXT(Table1[[#This Row],[order_date]],"mmmm")</f>
        <v>March</v>
      </c>
      <c r="D91" s="1" t="s">
        <v>17</v>
      </c>
      <c r="E91" s="1" t="s">
        <v>11</v>
      </c>
      <c r="F91" s="1">
        <v>6</v>
      </c>
      <c r="G91" s="1">
        <v>588.62</v>
      </c>
      <c r="H91" s="2">
        <v>0.12</v>
      </c>
      <c r="I91" s="1" t="s">
        <v>14</v>
      </c>
      <c r="J91" s="1">
        <v>2</v>
      </c>
      <c r="K91" s="23">
        <v>3107.91</v>
      </c>
    </row>
    <row r="92" spans="1:11" x14ac:dyDescent="0.3">
      <c r="A92" s="1">
        <v>10091</v>
      </c>
      <c r="B92" s="3">
        <v>44652</v>
      </c>
      <c r="C92" s="3" t="str">
        <f>TEXT(Table1[[#This Row],[order_date]],"mmmm")</f>
        <v>April</v>
      </c>
      <c r="D92" s="1" t="s">
        <v>20</v>
      </c>
      <c r="E92" s="1" t="s">
        <v>15</v>
      </c>
      <c r="F92" s="1">
        <v>3</v>
      </c>
      <c r="G92" s="1">
        <v>579.89</v>
      </c>
      <c r="H92" s="2">
        <v>0.33</v>
      </c>
      <c r="I92" s="1" t="s">
        <v>12</v>
      </c>
      <c r="J92" s="1">
        <v>4.8</v>
      </c>
      <c r="K92" s="23">
        <v>1165.58</v>
      </c>
    </row>
    <row r="93" spans="1:11" x14ac:dyDescent="0.3">
      <c r="A93" s="1">
        <v>10092</v>
      </c>
      <c r="B93" s="3">
        <v>44653</v>
      </c>
      <c r="C93" s="3" t="str">
        <f>TEXT(Table1[[#This Row],[order_date]],"mmmm")</f>
        <v>April</v>
      </c>
      <c r="D93" s="1" t="s">
        <v>13</v>
      </c>
      <c r="E93" s="1" t="s">
        <v>18</v>
      </c>
      <c r="F93" s="1">
        <v>5</v>
      </c>
      <c r="G93" s="1">
        <v>109.15</v>
      </c>
      <c r="H93" s="2">
        <v>0.2</v>
      </c>
      <c r="I93" s="1" t="s">
        <v>14</v>
      </c>
      <c r="J93" s="1">
        <v>3.1</v>
      </c>
      <c r="K93" s="23">
        <v>436.6</v>
      </c>
    </row>
    <row r="94" spans="1:11" x14ac:dyDescent="0.3">
      <c r="A94" s="1">
        <v>10093</v>
      </c>
      <c r="B94" s="3">
        <v>44654</v>
      </c>
      <c r="C94" s="3" t="str">
        <f>TEXT(Table1[[#This Row],[order_date]],"mmmm")</f>
        <v>April</v>
      </c>
      <c r="D94" s="1" t="s">
        <v>10</v>
      </c>
      <c r="E94" s="1" t="s">
        <v>18</v>
      </c>
      <c r="F94" s="1">
        <v>4</v>
      </c>
      <c r="G94" s="1">
        <v>121.03</v>
      </c>
      <c r="H94" s="2">
        <v>0.06</v>
      </c>
      <c r="I94" s="1" t="s">
        <v>12</v>
      </c>
      <c r="J94" s="1">
        <v>1.6</v>
      </c>
      <c r="K94" s="23">
        <v>455.07</v>
      </c>
    </row>
    <row r="95" spans="1:11" x14ac:dyDescent="0.3">
      <c r="A95" s="1">
        <v>10094</v>
      </c>
      <c r="B95" s="3">
        <v>44655</v>
      </c>
      <c r="C95" s="3" t="str">
        <f>TEXT(Table1[[#This Row],[order_date]],"mmmm")</f>
        <v>April</v>
      </c>
      <c r="D95" s="1" t="s">
        <v>17</v>
      </c>
      <c r="E95" s="1" t="s">
        <v>19</v>
      </c>
      <c r="F95" s="1">
        <v>3</v>
      </c>
      <c r="G95" s="1">
        <v>345.84</v>
      </c>
      <c r="H95" s="2">
        <v>0.23</v>
      </c>
      <c r="I95" s="1" t="s">
        <v>12</v>
      </c>
      <c r="J95" s="1">
        <v>1.6</v>
      </c>
      <c r="K95" s="23">
        <v>798.89</v>
      </c>
    </row>
    <row r="96" spans="1:11" x14ac:dyDescent="0.3">
      <c r="A96" s="1">
        <v>10095</v>
      </c>
      <c r="B96" s="3">
        <v>44656</v>
      </c>
      <c r="C96" s="3" t="str">
        <f>TEXT(Table1[[#This Row],[order_date]],"mmmm")</f>
        <v>April</v>
      </c>
      <c r="D96" s="1" t="s">
        <v>20</v>
      </c>
      <c r="E96" s="1" t="s">
        <v>18</v>
      </c>
      <c r="F96" s="1">
        <v>2</v>
      </c>
      <c r="G96" s="1">
        <v>387.82</v>
      </c>
      <c r="H96" s="2">
        <v>0.35</v>
      </c>
      <c r="I96" s="1" t="s">
        <v>16</v>
      </c>
      <c r="J96" s="1">
        <v>3.4</v>
      </c>
      <c r="K96" s="23">
        <v>504.17</v>
      </c>
    </row>
    <row r="97" spans="1:11" x14ac:dyDescent="0.3">
      <c r="A97" s="1">
        <v>10096</v>
      </c>
      <c r="B97" s="3">
        <v>44657</v>
      </c>
      <c r="C97" s="3" t="str">
        <f>TEXT(Table1[[#This Row],[order_date]],"mmmm")</f>
        <v>April</v>
      </c>
      <c r="D97" s="1" t="s">
        <v>13</v>
      </c>
      <c r="E97" s="1" t="s">
        <v>18</v>
      </c>
      <c r="F97" s="1">
        <v>1</v>
      </c>
      <c r="G97" s="1">
        <v>447.56</v>
      </c>
      <c r="H97" s="2">
        <v>0.28999999999999998</v>
      </c>
      <c r="I97" s="1" t="s">
        <v>14</v>
      </c>
      <c r="J97" s="1">
        <v>4.3</v>
      </c>
      <c r="K97" s="23">
        <v>317.77</v>
      </c>
    </row>
    <row r="98" spans="1:11" x14ac:dyDescent="0.3">
      <c r="A98" s="1">
        <v>10097</v>
      </c>
      <c r="B98" s="3">
        <v>44658</v>
      </c>
      <c r="C98" s="3" t="str">
        <f>TEXT(Table1[[#This Row],[order_date]],"mmmm")</f>
        <v>April</v>
      </c>
      <c r="D98" s="1" t="s">
        <v>17</v>
      </c>
      <c r="E98" s="1" t="s">
        <v>19</v>
      </c>
      <c r="F98" s="1">
        <v>7</v>
      </c>
      <c r="G98" s="1">
        <v>120.91</v>
      </c>
      <c r="H98" s="2">
        <v>0.26</v>
      </c>
      <c r="I98" s="1" t="s">
        <v>16</v>
      </c>
      <c r="J98" s="1">
        <v>4</v>
      </c>
      <c r="K98" s="23">
        <v>626.30999999999995</v>
      </c>
    </row>
    <row r="99" spans="1:11" x14ac:dyDescent="0.3">
      <c r="A99" s="1">
        <v>10098</v>
      </c>
      <c r="B99" s="3">
        <v>44659</v>
      </c>
      <c r="C99" s="3" t="str">
        <f>TEXT(Table1[[#This Row],[order_date]],"mmmm")</f>
        <v>April</v>
      </c>
      <c r="D99" s="1" t="s">
        <v>17</v>
      </c>
      <c r="E99" s="1" t="s">
        <v>19</v>
      </c>
      <c r="F99" s="1">
        <v>6</v>
      </c>
      <c r="G99" s="1">
        <v>576.02</v>
      </c>
      <c r="H99" s="2">
        <v>7.0000000000000007E-2</v>
      </c>
      <c r="I99" s="1" t="s">
        <v>14</v>
      </c>
      <c r="J99" s="1">
        <v>3.6</v>
      </c>
      <c r="K99" s="23">
        <v>3214.19</v>
      </c>
    </row>
    <row r="100" spans="1:11" x14ac:dyDescent="0.3">
      <c r="A100" s="1">
        <v>10099</v>
      </c>
      <c r="B100" s="3">
        <v>44660</v>
      </c>
      <c r="C100" s="3" t="str">
        <f>TEXT(Table1[[#This Row],[order_date]],"mmmm")</f>
        <v>April</v>
      </c>
      <c r="D100" s="1" t="s">
        <v>20</v>
      </c>
      <c r="E100" s="1" t="s">
        <v>18</v>
      </c>
      <c r="F100" s="1">
        <v>3</v>
      </c>
      <c r="G100" s="1">
        <v>388.66</v>
      </c>
      <c r="H100" s="2">
        <v>0.31</v>
      </c>
      <c r="I100" s="1" t="s">
        <v>14</v>
      </c>
      <c r="J100" s="1">
        <v>1.7</v>
      </c>
      <c r="K100" s="23">
        <v>804.53</v>
      </c>
    </row>
    <row r="101" spans="1:11" x14ac:dyDescent="0.3">
      <c r="A101" s="1">
        <v>10100</v>
      </c>
      <c r="B101" s="3">
        <v>44661</v>
      </c>
      <c r="C101" s="3" t="str">
        <f>TEXT(Table1[[#This Row],[order_date]],"mmmm")</f>
        <v>April</v>
      </c>
      <c r="D101" s="1" t="s">
        <v>20</v>
      </c>
      <c r="E101" s="1" t="s">
        <v>15</v>
      </c>
      <c r="F101" s="1">
        <v>7</v>
      </c>
      <c r="G101" s="1">
        <v>510.52</v>
      </c>
      <c r="H101" s="2">
        <v>0.18</v>
      </c>
      <c r="I101" s="1" t="s">
        <v>16</v>
      </c>
      <c r="J101" s="1">
        <v>1.4</v>
      </c>
      <c r="K101" s="23">
        <v>2930.38</v>
      </c>
    </row>
    <row r="102" spans="1:11" x14ac:dyDescent="0.3">
      <c r="A102" s="1">
        <v>10101</v>
      </c>
      <c r="B102" s="3">
        <v>44662</v>
      </c>
      <c r="C102" s="3" t="str">
        <f>TEXT(Table1[[#This Row],[order_date]],"mmmm")</f>
        <v>April</v>
      </c>
      <c r="D102" s="1" t="s">
        <v>17</v>
      </c>
      <c r="E102" s="1" t="s">
        <v>19</v>
      </c>
      <c r="F102" s="1">
        <v>7</v>
      </c>
      <c r="G102" s="1">
        <v>330.94</v>
      </c>
      <c r="H102" s="2">
        <v>0.31</v>
      </c>
      <c r="I102" s="1" t="s">
        <v>14</v>
      </c>
      <c r="J102" s="1">
        <v>1</v>
      </c>
      <c r="K102" s="23">
        <v>1598.44</v>
      </c>
    </row>
    <row r="103" spans="1:11" x14ac:dyDescent="0.3">
      <c r="A103" s="1">
        <v>10102</v>
      </c>
      <c r="B103" s="3">
        <v>44663</v>
      </c>
      <c r="C103" s="3" t="str">
        <f>TEXT(Table1[[#This Row],[order_date]],"mmmm")</f>
        <v>April</v>
      </c>
      <c r="D103" s="1" t="s">
        <v>13</v>
      </c>
      <c r="E103" s="1" t="s">
        <v>19</v>
      </c>
      <c r="F103" s="1">
        <v>5</v>
      </c>
      <c r="G103" s="1">
        <v>257.35000000000002</v>
      </c>
      <c r="H103" s="2">
        <v>0.12</v>
      </c>
      <c r="I103" s="1" t="s">
        <v>14</v>
      </c>
      <c r="J103" s="1">
        <v>1.4</v>
      </c>
      <c r="K103" s="23">
        <v>1132.3399999999999</v>
      </c>
    </row>
    <row r="104" spans="1:11" x14ac:dyDescent="0.3">
      <c r="A104" s="1">
        <v>10103</v>
      </c>
      <c r="B104" s="3">
        <v>44664</v>
      </c>
      <c r="C104" s="3" t="str">
        <f>TEXT(Table1[[#This Row],[order_date]],"mmmm")</f>
        <v>April</v>
      </c>
      <c r="D104" s="1" t="s">
        <v>13</v>
      </c>
      <c r="E104" s="1" t="s">
        <v>18</v>
      </c>
      <c r="F104" s="1">
        <v>6</v>
      </c>
      <c r="G104" s="1">
        <v>586.65</v>
      </c>
      <c r="H104" s="2">
        <v>0.02</v>
      </c>
      <c r="I104" s="1" t="s">
        <v>16</v>
      </c>
      <c r="J104" s="1">
        <v>4.0999999999999996</v>
      </c>
      <c r="K104" s="23">
        <v>3449.5</v>
      </c>
    </row>
    <row r="105" spans="1:11" x14ac:dyDescent="0.3">
      <c r="A105" s="1">
        <v>10104</v>
      </c>
      <c r="B105" s="3">
        <v>44665</v>
      </c>
      <c r="C105" s="3" t="str">
        <f>TEXT(Table1[[#This Row],[order_date]],"mmmm")</f>
        <v>April</v>
      </c>
      <c r="D105" s="1" t="s">
        <v>20</v>
      </c>
      <c r="E105" s="1" t="s">
        <v>18</v>
      </c>
      <c r="F105" s="1">
        <v>2</v>
      </c>
      <c r="G105" s="1">
        <v>355.54</v>
      </c>
      <c r="H105" s="2">
        <v>0.17</v>
      </c>
      <c r="I105" s="1" t="s">
        <v>16</v>
      </c>
      <c r="J105" s="1">
        <v>4.5999999999999996</v>
      </c>
      <c r="K105" s="23">
        <v>590.20000000000005</v>
      </c>
    </row>
    <row r="106" spans="1:11" x14ac:dyDescent="0.3">
      <c r="A106" s="1">
        <v>10105</v>
      </c>
      <c r="B106" s="3">
        <v>44666</v>
      </c>
      <c r="C106" s="3" t="str">
        <f>TEXT(Table1[[#This Row],[order_date]],"mmmm")</f>
        <v>April</v>
      </c>
      <c r="D106" s="1" t="s">
        <v>17</v>
      </c>
      <c r="E106" s="1" t="s">
        <v>19</v>
      </c>
      <c r="F106" s="1">
        <v>6</v>
      </c>
      <c r="G106" s="1">
        <v>522.12</v>
      </c>
      <c r="H106" s="2">
        <v>0.09</v>
      </c>
      <c r="I106" s="1" t="s">
        <v>14</v>
      </c>
      <c r="J106" s="1">
        <v>2</v>
      </c>
      <c r="K106" s="23">
        <v>2850.78</v>
      </c>
    </row>
    <row r="107" spans="1:11" x14ac:dyDescent="0.3">
      <c r="A107" s="1">
        <v>10106</v>
      </c>
      <c r="B107" s="3">
        <v>44667</v>
      </c>
      <c r="C107" s="3" t="str">
        <f>TEXT(Table1[[#This Row],[order_date]],"mmmm")</f>
        <v>April</v>
      </c>
      <c r="D107" s="1" t="s">
        <v>10</v>
      </c>
      <c r="E107" s="1" t="s">
        <v>18</v>
      </c>
      <c r="F107" s="1">
        <v>6</v>
      </c>
      <c r="G107" s="1">
        <v>572.67999999999995</v>
      </c>
      <c r="H107" s="2">
        <v>0.25</v>
      </c>
      <c r="I107" s="1" t="s">
        <v>14</v>
      </c>
      <c r="J107" s="1">
        <v>4.2</v>
      </c>
      <c r="K107" s="23">
        <v>2577.06</v>
      </c>
    </row>
    <row r="108" spans="1:11" x14ac:dyDescent="0.3">
      <c r="A108" s="1">
        <v>10107</v>
      </c>
      <c r="B108" s="3">
        <v>44668</v>
      </c>
      <c r="C108" s="3" t="str">
        <f>TEXT(Table1[[#This Row],[order_date]],"mmmm")</f>
        <v>April</v>
      </c>
      <c r="D108" s="1" t="s">
        <v>17</v>
      </c>
      <c r="E108" s="1" t="s">
        <v>19</v>
      </c>
      <c r="F108" s="1">
        <v>1</v>
      </c>
      <c r="G108" s="1">
        <v>410.08</v>
      </c>
      <c r="H108" s="2">
        <v>0.33</v>
      </c>
      <c r="I108" s="1" t="s">
        <v>14</v>
      </c>
      <c r="J108" s="1">
        <v>1.8</v>
      </c>
      <c r="K108" s="23">
        <v>274.75</v>
      </c>
    </row>
    <row r="109" spans="1:11" x14ac:dyDescent="0.3">
      <c r="A109" s="1">
        <v>10108</v>
      </c>
      <c r="B109" s="3">
        <v>44669</v>
      </c>
      <c r="C109" s="3" t="str">
        <f>TEXT(Table1[[#This Row],[order_date]],"mmmm")</f>
        <v>April</v>
      </c>
      <c r="D109" s="1" t="s">
        <v>13</v>
      </c>
      <c r="E109" s="1" t="s">
        <v>15</v>
      </c>
      <c r="F109" s="1">
        <v>4</v>
      </c>
      <c r="G109" s="1">
        <v>336.13</v>
      </c>
      <c r="H109" s="2">
        <v>0.24</v>
      </c>
      <c r="I109" s="1" t="s">
        <v>14</v>
      </c>
      <c r="J109" s="1">
        <v>2</v>
      </c>
      <c r="K109" s="23">
        <v>1021.84</v>
      </c>
    </row>
    <row r="110" spans="1:11" x14ac:dyDescent="0.3">
      <c r="A110" s="1">
        <v>10109</v>
      </c>
      <c r="B110" s="3">
        <v>44670</v>
      </c>
      <c r="C110" s="3" t="str">
        <f>TEXT(Table1[[#This Row],[order_date]],"mmmm")</f>
        <v>April</v>
      </c>
      <c r="D110" s="1" t="s">
        <v>17</v>
      </c>
      <c r="E110" s="1" t="s">
        <v>15</v>
      </c>
      <c r="F110" s="1">
        <v>7</v>
      </c>
      <c r="G110" s="1">
        <v>17.05</v>
      </c>
      <c r="H110" s="2">
        <v>0.31</v>
      </c>
      <c r="I110" s="1" t="s">
        <v>16</v>
      </c>
      <c r="J110" s="1">
        <v>1.9</v>
      </c>
      <c r="K110" s="23">
        <v>82.35</v>
      </c>
    </row>
    <row r="111" spans="1:11" x14ac:dyDescent="0.3">
      <c r="A111" s="1">
        <v>10110</v>
      </c>
      <c r="B111" s="3">
        <v>44671</v>
      </c>
      <c r="C111" s="3" t="str">
        <f>TEXT(Table1[[#This Row],[order_date]],"mmmm")</f>
        <v>April</v>
      </c>
      <c r="D111" s="1" t="s">
        <v>17</v>
      </c>
      <c r="E111" s="1" t="s">
        <v>19</v>
      </c>
      <c r="F111" s="1">
        <v>2</v>
      </c>
      <c r="G111" s="1">
        <v>38.409999999999997</v>
      </c>
      <c r="H111" s="2">
        <v>0.16</v>
      </c>
      <c r="I111" s="1" t="s">
        <v>16</v>
      </c>
      <c r="J111" s="1">
        <v>1.2</v>
      </c>
      <c r="K111" s="23">
        <v>64.53</v>
      </c>
    </row>
    <row r="112" spans="1:11" x14ac:dyDescent="0.3">
      <c r="A112" s="1">
        <v>10111</v>
      </c>
      <c r="B112" s="3">
        <v>44672</v>
      </c>
      <c r="C112" s="3" t="str">
        <f>TEXT(Table1[[#This Row],[order_date]],"mmmm")</f>
        <v>April</v>
      </c>
      <c r="D112" s="1" t="s">
        <v>13</v>
      </c>
      <c r="E112" s="1" t="s">
        <v>19</v>
      </c>
      <c r="F112" s="1">
        <v>1</v>
      </c>
      <c r="G112" s="1">
        <v>132.5</v>
      </c>
      <c r="H112" s="2">
        <v>0.27</v>
      </c>
      <c r="I112" s="1" t="s">
        <v>16</v>
      </c>
      <c r="J112" s="1">
        <v>1.8</v>
      </c>
      <c r="K112" s="23">
        <v>96.72</v>
      </c>
    </row>
    <row r="113" spans="1:11" x14ac:dyDescent="0.3">
      <c r="A113" s="1">
        <v>10112</v>
      </c>
      <c r="B113" s="3">
        <v>44673</v>
      </c>
      <c r="C113" s="3" t="str">
        <f>TEXT(Table1[[#This Row],[order_date]],"mmmm")</f>
        <v>April</v>
      </c>
      <c r="D113" s="1" t="s">
        <v>17</v>
      </c>
      <c r="E113" s="1" t="s">
        <v>11</v>
      </c>
      <c r="F113" s="1">
        <v>7</v>
      </c>
      <c r="G113" s="1">
        <v>123.81</v>
      </c>
      <c r="H113" s="2">
        <v>0.3</v>
      </c>
      <c r="I113" s="1" t="s">
        <v>14</v>
      </c>
      <c r="J113" s="1">
        <v>2.5</v>
      </c>
      <c r="K113" s="23">
        <v>606.66999999999996</v>
      </c>
    </row>
    <row r="114" spans="1:11" x14ac:dyDescent="0.3">
      <c r="A114" s="1">
        <v>10113</v>
      </c>
      <c r="B114" s="3">
        <v>44674</v>
      </c>
      <c r="C114" s="3" t="str">
        <f>TEXT(Table1[[#This Row],[order_date]],"mmmm")</f>
        <v>April</v>
      </c>
      <c r="D114" s="1" t="s">
        <v>20</v>
      </c>
      <c r="E114" s="1" t="s">
        <v>11</v>
      </c>
      <c r="F114" s="1">
        <v>4</v>
      </c>
      <c r="G114" s="1">
        <v>164.03</v>
      </c>
      <c r="H114" s="2">
        <v>0.25</v>
      </c>
      <c r="I114" s="1" t="s">
        <v>14</v>
      </c>
      <c r="J114" s="1">
        <v>2.6</v>
      </c>
      <c r="K114" s="23">
        <v>492.09</v>
      </c>
    </row>
    <row r="115" spans="1:11" x14ac:dyDescent="0.3">
      <c r="A115" s="1">
        <v>10114</v>
      </c>
      <c r="B115" s="3">
        <v>44675</v>
      </c>
      <c r="C115" s="3" t="str">
        <f>TEXT(Table1[[#This Row],[order_date]],"mmmm")</f>
        <v>April</v>
      </c>
      <c r="D115" s="1" t="s">
        <v>17</v>
      </c>
      <c r="E115" s="1" t="s">
        <v>18</v>
      </c>
      <c r="F115" s="1">
        <v>1</v>
      </c>
      <c r="G115" s="1">
        <v>193.39</v>
      </c>
      <c r="H115" s="2">
        <v>0.18</v>
      </c>
      <c r="I115" s="1" t="s">
        <v>14</v>
      </c>
      <c r="J115" s="1">
        <v>2.2000000000000002</v>
      </c>
      <c r="K115" s="23">
        <v>158.58000000000001</v>
      </c>
    </row>
    <row r="116" spans="1:11" x14ac:dyDescent="0.3">
      <c r="A116" s="1">
        <v>10115</v>
      </c>
      <c r="B116" s="3">
        <v>44676</v>
      </c>
      <c r="C116" s="3" t="str">
        <f>TEXT(Table1[[#This Row],[order_date]],"mmmm")</f>
        <v>April</v>
      </c>
      <c r="D116" s="1" t="s">
        <v>13</v>
      </c>
      <c r="E116" s="1" t="s">
        <v>18</v>
      </c>
      <c r="F116" s="1">
        <v>4</v>
      </c>
      <c r="G116" s="1">
        <v>225.64</v>
      </c>
      <c r="H116" s="2">
        <v>0.22</v>
      </c>
      <c r="I116" s="1" t="s">
        <v>14</v>
      </c>
      <c r="J116" s="1">
        <v>3.1</v>
      </c>
      <c r="K116" s="23">
        <v>704</v>
      </c>
    </row>
    <row r="117" spans="1:11" x14ac:dyDescent="0.3">
      <c r="A117" s="1">
        <v>10116</v>
      </c>
      <c r="B117" s="3">
        <v>44677</v>
      </c>
      <c r="C117" s="3" t="str">
        <f>TEXT(Table1[[#This Row],[order_date]],"mmmm")</f>
        <v>April</v>
      </c>
      <c r="D117" s="1" t="s">
        <v>17</v>
      </c>
      <c r="E117" s="1" t="s">
        <v>19</v>
      </c>
      <c r="F117" s="1">
        <v>4</v>
      </c>
      <c r="G117" s="1">
        <v>261.01</v>
      </c>
      <c r="H117" s="2">
        <v>0.25</v>
      </c>
      <c r="I117" s="1" t="s">
        <v>14</v>
      </c>
      <c r="J117" s="1">
        <v>2.5</v>
      </c>
      <c r="K117" s="23">
        <v>783.03</v>
      </c>
    </row>
    <row r="118" spans="1:11" x14ac:dyDescent="0.3">
      <c r="A118" s="1">
        <v>10117</v>
      </c>
      <c r="B118" s="3">
        <v>44678</v>
      </c>
      <c r="C118" s="3" t="str">
        <f>TEXT(Table1[[#This Row],[order_date]],"mmmm")</f>
        <v>April</v>
      </c>
      <c r="D118" s="1" t="s">
        <v>17</v>
      </c>
      <c r="E118" s="1" t="s">
        <v>19</v>
      </c>
      <c r="F118" s="1">
        <v>4</v>
      </c>
      <c r="G118" s="1">
        <v>72.84</v>
      </c>
      <c r="H118" s="2">
        <v>0.09</v>
      </c>
      <c r="I118" s="1" t="s">
        <v>14</v>
      </c>
      <c r="J118" s="1">
        <v>4.9000000000000004</v>
      </c>
      <c r="K118" s="23">
        <v>265.14</v>
      </c>
    </row>
    <row r="119" spans="1:11" x14ac:dyDescent="0.3">
      <c r="A119" s="1">
        <v>10118</v>
      </c>
      <c r="B119" s="3">
        <v>44679</v>
      </c>
      <c r="C119" s="3" t="str">
        <f>TEXT(Table1[[#This Row],[order_date]],"mmmm")</f>
        <v>April</v>
      </c>
      <c r="D119" s="1" t="s">
        <v>17</v>
      </c>
      <c r="E119" s="1" t="s">
        <v>11</v>
      </c>
      <c r="F119" s="1">
        <v>1</v>
      </c>
      <c r="G119" s="1">
        <v>39.78</v>
      </c>
      <c r="H119" s="2">
        <v>0.28000000000000003</v>
      </c>
      <c r="I119" s="1" t="s">
        <v>14</v>
      </c>
      <c r="J119" s="1">
        <v>4.2</v>
      </c>
      <c r="K119" s="23">
        <v>28.64</v>
      </c>
    </row>
    <row r="120" spans="1:11" x14ac:dyDescent="0.3">
      <c r="A120" s="1">
        <v>10119</v>
      </c>
      <c r="B120" s="3">
        <v>44680</v>
      </c>
      <c r="C120" s="3" t="str">
        <f>TEXT(Table1[[#This Row],[order_date]],"mmmm")</f>
        <v>April</v>
      </c>
      <c r="D120" s="1" t="s">
        <v>13</v>
      </c>
      <c r="E120" s="1" t="s">
        <v>11</v>
      </c>
      <c r="F120" s="1">
        <v>6</v>
      </c>
      <c r="G120" s="1">
        <v>409.26</v>
      </c>
      <c r="H120" s="2">
        <v>0.33</v>
      </c>
      <c r="I120" s="1" t="s">
        <v>16</v>
      </c>
      <c r="J120" s="1">
        <v>4.7</v>
      </c>
      <c r="K120" s="23">
        <v>1645.23</v>
      </c>
    </row>
    <row r="121" spans="1:11" x14ac:dyDescent="0.3">
      <c r="A121" s="1">
        <v>10120</v>
      </c>
      <c r="B121" s="3">
        <v>44681</v>
      </c>
      <c r="C121" s="3" t="str">
        <f>TEXT(Table1[[#This Row],[order_date]],"mmmm")</f>
        <v>April</v>
      </c>
      <c r="D121" s="1" t="s">
        <v>13</v>
      </c>
      <c r="E121" s="1" t="s">
        <v>19</v>
      </c>
      <c r="F121" s="1">
        <v>4</v>
      </c>
      <c r="G121" s="1">
        <v>329.34</v>
      </c>
      <c r="H121" s="2">
        <v>0.16</v>
      </c>
      <c r="I121" s="1" t="s">
        <v>16</v>
      </c>
      <c r="J121" s="1">
        <v>3.2</v>
      </c>
      <c r="K121" s="23">
        <v>1106.58</v>
      </c>
    </row>
    <row r="122" spans="1:11" x14ac:dyDescent="0.3">
      <c r="A122" s="1">
        <v>10121</v>
      </c>
      <c r="B122" s="3">
        <v>44682</v>
      </c>
      <c r="C122" s="3" t="str">
        <f>TEXT(Table1[[#This Row],[order_date]],"mmmm")</f>
        <v>May</v>
      </c>
      <c r="D122" s="1" t="s">
        <v>13</v>
      </c>
      <c r="E122" s="1" t="s">
        <v>15</v>
      </c>
      <c r="F122" s="1">
        <v>6</v>
      </c>
      <c r="G122" s="1">
        <v>274.82</v>
      </c>
      <c r="H122" s="2">
        <v>0.25</v>
      </c>
      <c r="I122" s="1" t="s">
        <v>16</v>
      </c>
      <c r="J122" s="1">
        <v>3.7</v>
      </c>
      <c r="K122" s="23">
        <v>1236.69</v>
      </c>
    </row>
    <row r="123" spans="1:11" x14ac:dyDescent="0.3">
      <c r="A123" s="1">
        <v>10122</v>
      </c>
      <c r="B123" s="3">
        <v>44683</v>
      </c>
      <c r="C123" s="3" t="str">
        <f>TEXT(Table1[[#This Row],[order_date]],"mmmm")</f>
        <v>May</v>
      </c>
      <c r="D123" s="1" t="s">
        <v>13</v>
      </c>
      <c r="E123" s="1" t="s">
        <v>15</v>
      </c>
      <c r="F123" s="1">
        <v>7</v>
      </c>
      <c r="G123" s="1">
        <v>386.15</v>
      </c>
      <c r="H123" s="2">
        <v>0.26</v>
      </c>
      <c r="I123" s="1" t="s">
        <v>14</v>
      </c>
      <c r="J123" s="1">
        <v>1.7</v>
      </c>
      <c r="K123" s="23">
        <v>2000.26</v>
      </c>
    </row>
    <row r="124" spans="1:11" x14ac:dyDescent="0.3">
      <c r="A124" s="1">
        <v>10123</v>
      </c>
      <c r="B124" s="3">
        <v>44684</v>
      </c>
      <c r="C124" s="3" t="str">
        <f>TEXT(Table1[[#This Row],[order_date]],"mmmm")</f>
        <v>May</v>
      </c>
      <c r="D124" s="1" t="s">
        <v>13</v>
      </c>
      <c r="E124" s="1" t="s">
        <v>18</v>
      </c>
      <c r="F124" s="1">
        <v>7</v>
      </c>
      <c r="G124" s="1">
        <v>499.19</v>
      </c>
      <c r="H124" s="2">
        <v>0.23</v>
      </c>
      <c r="I124" s="1" t="s">
        <v>12</v>
      </c>
      <c r="J124" s="1">
        <v>4</v>
      </c>
      <c r="K124" s="23">
        <v>2690.63</v>
      </c>
    </row>
    <row r="125" spans="1:11" x14ac:dyDescent="0.3">
      <c r="A125" s="1">
        <v>10124</v>
      </c>
      <c r="B125" s="3">
        <v>44685</v>
      </c>
      <c r="C125" s="3" t="str">
        <f>TEXT(Table1[[#This Row],[order_date]],"mmmm")</f>
        <v>May</v>
      </c>
      <c r="D125" s="1" t="s">
        <v>17</v>
      </c>
      <c r="E125" s="1" t="s">
        <v>19</v>
      </c>
      <c r="F125" s="1">
        <v>2</v>
      </c>
      <c r="G125" s="1">
        <v>265.2</v>
      </c>
      <c r="H125" s="2">
        <v>0.19</v>
      </c>
      <c r="I125" s="1" t="s">
        <v>12</v>
      </c>
      <c r="J125" s="1">
        <v>1.9</v>
      </c>
      <c r="K125" s="23">
        <v>429.62</v>
      </c>
    </row>
    <row r="126" spans="1:11" x14ac:dyDescent="0.3">
      <c r="A126" s="1">
        <v>10125</v>
      </c>
      <c r="B126" s="3">
        <v>44686</v>
      </c>
      <c r="C126" s="3" t="str">
        <f>TEXT(Table1[[#This Row],[order_date]],"mmmm")</f>
        <v>May</v>
      </c>
      <c r="D126" s="1" t="s">
        <v>13</v>
      </c>
      <c r="E126" s="1" t="s">
        <v>19</v>
      </c>
      <c r="F126" s="1">
        <v>5</v>
      </c>
      <c r="G126" s="1">
        <v>390.05</v>
      </c>
      <c r="H126" s="2">
        <v>0.31</v>
      </c>
      <c r="I126" s="1" t="s">
        <v>14</v>
      </c>
      <c r="J126" s="1">
        <v>1.6</v>
      </c>
      <c r="K126" s="23">
        <v>1345.67</v>
      </c>
    </row>
    <row r="127" spans="1:11" x14ac:dyDescent="0.3">
      <c r="A127" s="1">
        <v>10126</v>
      </c>
      <c r="B127" s="3">
        <v>44687</v>
      </c>
      <c r="C127" s="3" t="str">
        <f>TEXT(Table1[[#This Row],[order_date]],"mmmm")</f>
        <v>May</v>
      </c>
      <c r="D127" s="1" t="s">
        <v>10</v>
      </c>
      <c r="E127" s="1" t="s">
        <v>18</v>
      </c>
      <c r="F127" s="1">
        <v>6</v>
      </c>
      <c r="G127" s="1">
        <v>572.84</v>
      </c>
      <c r="H127" s="2">
        <v>0.16</v>
      </c>
      <c r="I127" s="1" t="s">
        <v>16</v>
      </c>
      <c r="J127" s="1">
        <v>1.2</v>
      </c>
      <c r="K127" s="23">
        <v>2887.11</v>
      </c>
    </row>
    <row r="128" spans="1:11" x14ac:dyDescent="0.3">
      <c r="A128" s="1">
        <v>10127</v>
      </c>
      <c r="B128" s="3">
        <v>44688</v>
      </c>
      <c r="C128" s="3" t="str">
        <f>TEXT(Table1[[#This Row],[order_date]],"mmmm")</f>
        <v>May</v>
      </c>
      <c r="D128" s="1" t="s">
        <v>13</v>
      </c>
      <c r="E128" s="1" t="s">
        <v>11</v>
      </c>
      <c r="F128" s="1">
        <v>7</v>
      </c>
      <c r="G128" s="1">
        <v>506.18</v>
      </c>
      <c r="H128" s="2">
        <v>0.02</v>
      </c>
      <c r="I128" s="1" t="s">
        <v>12</v>
      </c>
      <c r="J128" s="1">
        <v>2.9</v>
      </c>
      <c r="K128" s="23">
        <v>3472.39</v>
      </c>
    </row>
    <row r="129" spans="1:11" x14ac:dyDescent="0.3">
      <c r="A129" s="1">
        <v>10128</v>
      </c>
      <c r="B129" s="3">
        <v>44689</v>
      </c>
      <c r="C129" s="3" t="str">
        <f>TEXT(Table1[[#This Row],[order_date]],"mmmm")</f>
        <v>May</v>
      </c>
      <c r="D129" s="1" t="s">
        <v>20</v>
      </c>
      <c r="E129" s="1" t="s">
        <v>11</v>
      </c>
      <c r="F129" s="1">
        <v>5</v>
      </c>
      <c r="G129" s="1">
        <v>264.20999999999998</v>
      </c>
      <c r="H129" s="2">
        <v>0.3</v>
      </c>
      <c r="I129" s="1" t="s">
        <v>16</v>
      </c>
      <c r="J129" s="1">
        <v>2.1</v>
      </c>
      <c r="K129" s="23">
        <v>924.73</v>
      </c>
    </row>
    <row r="130" spans="1:11" x14ac:dyDescent="0.3">
      <c r="A130" s="1">
        <v>10129</v>
      </c>
      <c r="B130" s="3">
        <v>44690</v>
      </c>
      <c r="C130" s="3" t="str">
        <f>TEXT(Table1[[#This Row],[order_date]],"mmmm")</f>
        <v>May</v>
      </c>
      <c r="D130" s="1" t="s">
        <v>17</v>
      </c>
      <c r="E130" s="1" t="s">
        <v>15</v>
      </c>
      <c r="F130" s="1">
        <v>4</v>
      </c>
      <c r="G130" s="1">
        <v>392.16</v>
      </c>
      <c r="H130" s="2">
        <v>0.24</v>
      </c>
      <c r="I130" s="1" t="s">
        <v>14</v>
      </c>
      <c r="J130" s="1">
        <v>4.9000000000000004</v>
      </c>
      <c r="K130" s="23">
        <v>1192.17</v>
      </c>
    </row>
    <row r="131" spans="1:11" x14ac:dyDescent="0.3">
      <c r="A131" s="1">
        <v>10130</v>
      </c>
      <c r="B131" s="3">
        <v>44691</v>
      </c>
      <c r="C131" s="3" t="str">
        <f>TEXT(Table1[[#This Row],[order_date]],"mmmm")</f>
        <v>May</v>
      </c>
      <c r="D131" s="1" t="s">
        <v>20</v>
      </c>
      <c r="E131" s="1" t="s">
        <v>19</v>
      </c>
      <c r="F131" s="1">
        <v>5</v>
      </c>
      <c r="G131" s="1">
        <v>118.59</v>
      </c>
      <c r="H131" s="2">
        <v>0.3</v>
      </c>
      <c r="I131" s="1" t="s">
        <v>16</v>
      </c>
      <c r="J131" s="1">
        <v>2</v>
      </c>
      <c r="K131" s="23">
        <v>415.06</v>
      </c>
    </row>
    <row r="132" spans="1:11" x14ac:dyDescent="0.3">
      <c r="A132" s="1">
        <v>10131</v>
      </c>
      <c r="B132" s="3">
        <v>44692</v>
      </c>
      <c r="C132" s="3" t="str">
        <f>TEXT(Table1[[#This Row],[order_date]],"mmmm")</f>
        <v>May</v>
      </c>
      <c r="D132" s="1" t="s">
        <v>20</v>
      </c>
      <c r="E132" s="1" t="s">
        <v>11</v>
      </c>
      <c r="F132" s="1">
        <v>5</v>
      </c>
      <c r="G132" s="1">
        <v>342.91</v>
      </c>
      <c r="H132" s="2">
        <v>0.05</v>
      </c>
      <c r="I132" s="1" t="s">
        <v>16</v>
      </c>
      <c r="J132" s="1">
        <v>4.5</v>
      </c>
      <c r="K132" s="23">
        <v>1628.82</v>
      </c>
    </row>
    <row r="133" spans="1:11" x14ac:dyDescent="0.3">
      <c r="A133" s="1">
        <v>10132</v>
      </c>
      <c r="B133" s="3">
        <v>44693</v>
      </c>
      <c r="C133" s="3" t="str">
        <f>TEXT(Table1[[#This Row],[order_date]],"mmmm")</f>
        <v>May</v>
      </c>
      <c r="D133" s="1" t="s">
        <v>13</v>
      </c>
      <c r="E133" s="1" t="s">
        <v>15</v>
      </c>
      <c r="F133" s="1">
        <v>4</v>
      </c>
      <c r="G133" s="1">
        <v>589.08000000000004</v>
      </c>
      <c r="H133" s="2">
        <v>0.01</v>
      </c>
      <c r="I133" s="1" t="s">
        <v>14</v>
      </c>
      <c r="J133" s="1">
        <v>2.2999999999999998</v>
      </c>
      <c r="K133" s="23">
        <v>2332.7600000000002</v>
      </c>
    </row>
    <row r="134" spans="1:11" x14ac:dyDescent="0.3">
      <c r="A134" s="1">
        <v>10133</v>
      </c>
      <c r="B134" s="3">
        <v>44694</v>
      </c>
      <c r="C134" s="3" t="str">
        <f>TEXT(Table1[[#This Row],[order_date]],"mmmm")</f>
        <v>May</v>
      </c>
      <c r="D134" s="1" t="s">
        <v>10</v>
      </c>
      <c r="E134" s="1" t="s">
        <v>15</v>
      </c>
      <c r="F134" s="1">
        <v>6</v>
      </c>
      <c r="G134" s="1">
        <v>318.20999999999998</v>
      </c>
      <c r="H134" s="2">
        <v>0.33</v>
      </c>
      <c r="I134" s="1" t="s">
        <v>12</v>
      </c>
      <c r="J134" s="1">
        <v>4</v>
      </c>
      <c r="K134" s="23">
        <v>1279.2</v>
      </c>
    </row>
    <row r="135" spans="1:11" x14ac:dyDescent="0.3">
      <c r="A135" s="1">
        <v>10134</v>
      </c>
      <c r="B135" s="3">
        <v>44695</v>
      </c>
      <c r="C135" s="3" t="str">
        <f>TEXT(Table1[[#This Row],[order_date]],"mmmm")</f>
        <v>May</v>
      </c>
      <c r="D135" s="1" t="s">
        <v>17</v>
      </c>
      <c r="E135" s="1" t="s">
        <v>15</v>
      </c>
      <c r="F135" s="1">
        <v>4</v>
      </c>
      <c r="G135" s="1">
        <v>557.66999999999996</v>
      </c>
      <c r="H135" s="2">
        <v>0.05</v>
      </c>
      <c r="I135" s="1" t="s">
        <v>16</v>
      </c>
      <c r="J135" s="1">
        <v>3.6</v>
      </c>
      <c r="K135" s="23">
        <v>2119.15</v>
      </c>
    </row>
    <row r="136" spans="1:11" x14ac:dyDescent="0.3">
      <c r="A136" s="1">
        <v>10135</v>
      </c>
      <c r="B136" s="3">
        <v>44696</v>
      </c>
      <c r="C136" s="3" t="str">
        <f>TEXT(Table1[[#This Row],[order_date]],"mmmm")</f>
        <v>May</v>
      </c>
      <c r="D136" s="1" t="s">
        <v>17</v>
      </c>
      <c r="E136" s="1" t="s">
        <v>11</v>
      </c>
      <c r="F136" s="1">
        <v>2</v>
      </c>
      <c r="G136" s="1">
        <v>253.29</v>
      </c>
      <c r="H136" s="2">
        <v>0.28000000000000003</v>
      </c>
      <c r="I136" s="1" t="s">
        <v>14</v>
      </c>
      <c r="J136" s="1">
        <v>3.2</v>
      </c>
      <c r="K136" s="23">
        <v>364.74</v>
      </c>
    </row>
    <row r="137" spans="1:11" x14ac:dyDescent="0.3">
      <c r="A137" s="1">
        <v>10136</v>
      </c>
      <c r="B137" s="3">
        <v>44697</v>
      </c>
      <c r="C137" s="3" t="str">
        <f>TEXT(Table1[[#This Row],[order_date]],"mmmm")</f>
        <v>May</v>
      </c>
      <c r="D137" s="1" t="s">
        <v>20</v>
      </c>
      <c r="E137" s="1" t="s">
        <v>11</v>
      </c>
      <c r="F137" s="1">
        <v>3</v>
      </c>
      <c r="G137" s="1">
        <v>599.32000000000005</v>
      </c>
      <c r="H137" s="2">
        <v>0.28999999999999998</v>
      </c>
      <c r="I137" s="1" t="s">
        <v>16</v>
      </c>
      <c r="J137" s="1">
        <v>2.7</v>
      </c>
      <c r="K137" s="23">
        <v>1276.55</v>
      </c>
    </row>
    <row r="138" spans="1:11" x14ac:dyDescent="0.3">
      <c r="A138" s="1">
        <v>10137</v>
      </c>
      <c r="B138" s="3">
        <v>44698</v>
      </c>
      <c r="C138" s="3" t="str">
        <f>TEXT(Table1[[#This Row],[order_date]],"mmmm")</f>
        <v>May</v>
      </c>
      <c r="D138" s="1" t="s">
        <v>20</v>
      </c>
      <c r="E138" s="1" t="s">
        <v>19</v>
      </c>
      <c r="F138" s="1">
        <v>1</v>
      </c>
      <c r="G138" s="1">
        <v>353.84</v>
      </c>
      <c r="H138" s="2">
        <v>0.25</v>
      </c>
      <c r="I138" s="1" t="s">
        <v>16</v>
      </c>
      <c r="J138" s="1">
        <v>3.7</v>
      </c>
      <c r="K138" s="23">
        <v>265.38</v>
      </c>
    </row>
    <row r="139" spans="1:11" x14ac:dyDescent="0.3">
      <c r="A139" s="1">
        <v>10138</v>
      </c>
      <c r="B139" s="3">
        <v>44699</v>
      </c>
      <c r="C139" s="3" t="str">
        <f>TEXT(Table1[[#This Row],[order_date]],"mmmm")</f>
        <v>May</v>
      </c>
      <c r="D139" s="1" t="s">
        <v>17</v>
      </c>
      <c r="E139" s="1" t="s">
        <v>19</v>
      </c>
      <c r="F139" s="1">
        <v>4</v>
      </c>
      <c r="G139" s="1">
        <v>39.729999999999997</v>
      </c>
      <c r="H139" s="2">
        <v>0.05</v>
      </c>
      <c r="I139" s="1" t="s">
        <v>14</v>
      </c>
      <c r="J139" s="1">
        <v>2.6</v>
      </c>
      <c r="K139" s="23">
        <v>150.97</v>
      </c>
    </row>
    <row r="140" spans="1:11" x14ac:dyDescent="0.3">
      <c r="A140" s="1">
        <v>10139</v>
      </c>
      <c r="B140" s="3">
        <v>44700</v>
      </c>
      <c r="C140" s="3" t="str">
        <f>TEXT(Table1[[#This Row],[order_date]],"mmmm")</f>
        <v>May</v>
      </c>
      <c r="D140" s="1" t="s">
        <v>17</v>
      </c>
      <c r="E140" s="1" t="s">
        <v>15</v>
      </c>
      <c r="F140" s="1">
        <v>4</v>
      </c>
      <c r="G140" s="1">
        <v>358.25</v>
      </c>
      <c r="H140" s="2">
        <v>0.23</v>
      </c>
      <c r="I140" s="1" t="s">
        <v>14</v>
      </c>
      <c r="J140" s="1">
        <v>3.2</v>
      </c>
      <c r="K140" s="23">
        <v>1103.4100000000001</v>
      </c>
    </row>
    <row r="141" spans="1:11" x14ac:dyDescent="0.3">
      <c r="A141" s="1">
        <v>10140</v>
      </c>
      <c r="B141" s="3">
        <v>44701</v>
      </c>
      <c r="C141" s="3" t="str">
        <f>TEXT(Table1[[#This Row],[order_date]],"mmmm")</f>
        <v>May</v>
      </c>
      <c r="D141" s="1" t="s">
        <v>17</v>
      </c>
      <c r="E141" s="1" t="s">
        <v>15</v>
      </c>
      <c r="F141" s="1">
        <v>5</v>
      </c>
      <c r="G141" s="1">
        <v>175.63</v>
      </c>
      <c r="H141" s="2">
        <v>0.31</v>
      </c>
      <c r="I141" s="1" t="s">
        <v>12</v>
      </c>
      <c r="J141" s="1">
        <v>3.4</v>
      </c>
      <c r="K141" s="23">
        <v>605.91999999999996</v>
      </c>
    </row>
    <row r="142" spans="1:11" x14ac:dyDescent="0.3">
      <c r="A142" s="1">
        <v>10141</v>
      </c>
      <c r="B142" s="3">
        <v>44702</v>
      </c>
      <c r="C142" s="3" t="str">
        <f>TEXT(Table1[[#This Row],[order_date]],"mmmm")</f>
        <v>May</v>
      </c>
      <c r="D142" s="1" t="s">
        <v>17</v>
      </c>
      <c r="E142" s="1" t="s">
        <v>11</v>
      </c>
      <c r="F142" s="1">
        <v>2</v>
      </c>
      <c r="G142" s="1">
        <v>34</v>
      </c>
      <c r="H142" s="2">
        <v>0.15</v>
      </c>
      <c r="I142" s="1" t="s">
        <v>16</v>
      </c>
      <c r="J142" s="1">
        <v>2.1</v>
      </c>
      <c r="K142" s="23">
        <v>57.8</v>
      </c>
    </row>
    <row r="143" spans="1:11" x14ac:dyDescent="0.3">
      <c r="A143" s="1">
        <v>10142</v>
      </c>
      <c r="B143" s="3">
        <v>44703</v>
      </c>
      <c r="C143" s="3" t="str">
        <f>TEXT(Table1[[#This Row],[order_date]],"mmmm")</f>
        <v>May</v>
      </c>
      <c r="D143" s="1" t="s">
        <v>20</v>
      </c>
      <c r="E143" s="1" t="s">
        <v>11</v>
      </c>
      <c r="F143" s="1">
        <v>7</v>
      </c>
      <c r="G143" s="1">
        <v>495.2</v>
      </c>
      <c r="H143" s="2">
        <v>0.14000000000000001</v>
      </c>
      <c r="I143" s="1" t="s">
        <v>14</v>
      </c>
      <c r="J143" s="1">
        <v>2.4</v>
      </c>
      <c r="K143" s="23">
        <v>2981.1</v>
      </c>
    </row>
    <row r="144" spans="1:11" x14ac:dyDescent="0.3">
      <c r="A144" s="1">
        <v>10143</v>
      </c>
      <c r="B144" s="3">
        <v>44704</v>
      </c>
      <c r="C144" s="3" t="str">
        <f>TEXT(Table1[[#This Row],[order_date]],"mmmm")</f>
        <v>May</v>
      </c>
      <c r="D144" s="1" t="s">
        <v>13</v>
      </c>
      <c r="E144" s="1" t="s">
        <v>19</v>
      </c>
      <c r="F144" s="1">
        <v>7</v>
      </c>
      <c r="G144" s="1">
        <v>176.3</v>
      </c>
      <c r="H144" s="2">
        <v>0.16</v>
      </c>
      <c r="I144" s="1" t="s">
        <v>14</v>
      </c>
      <c r="J144" s="1">
        <v>1.1000000000000001</v>
      </c>
      <c r="K144" s="23">
        <v>1036.6400000000001</v>
      </c>
    </row>
    <row r="145" spans="1:11" x14ac:dyDescent="0.3">
      <c r="A145" s="1">
        <v>10144</v>
      </c>
      <c r="B145" s="3">
        <v>44705</v>
      </c>
      <c r="C145" s="3" t="str">
        <f>TEXT(Table1[[#This Row],[order_date]],"mmmm")</f>
        <v>May</v>
      </c>
      <c r="D145" s="1" t="s">
        <v>17</v>
      </c>
      <c r="E145" s="1" t="s">
        <v>19</v>
      </c>
      <c r="F145" s="1">
        <v>5</v>
      </c>
      <c r="G145" s="1">
        <v>480.98</v>
      </c>
      <c r="H145" s="2">
        <v>0.03</v>
      </c>
      <c r="I145" s="1" t="s">
        <v>16</v>
      </c>
      <c r="J145" s="1">
        <v>4.4000000000000004</v>
      </c>
      <c r="K145" s="23">
        <v>2332.75</v>
      </c>
    </row>
    <row r="146" spans="1:11" x14ac:dyDescent="0.3">
      <c r="A146" s="1">
        <v>10145</v>
      </c>
      <c r="B146" s="3">
        <v>44706</v>
      </c>
      <c r="C146" s="3" t="str">
        <f>TEXT(Table1[[#This Row],[order_date]],"mmmm")</f>
        <v>May</v>
      </c>
      <c r="D146" s="1" t="s">
        <v>13</v>
      </c>
      <c r="E146" s="1" t="s">
        <v>18</v>
      </c>
      <c r="F146" s="1">
        <v>6</v>
      </c>
      <c r="G146" s="1">
        <v>183.61</v>
      </c>
      <c r="H146" s="2">
        <v>0.31</v>
      </c>
      <c r="I146" s="1" t="s">
        <v>16</v>
      </c>
      <c r="J146" s="1">
        <v>4</v>
      </c>
      <c r="K146" s="23">
        <v>760.15</v>
      </c>
    </row>
    <row r="147" spans="1:11" x14ac:dyDescent="0.3">
      <c r="A147" s="1">
        <v>10146</v>
      </c>
      <c r="B147" s="3">
        <v>44707</v>
      </c>
      <c r="C147" s="3" t="str">
        <f>TEXT(Table1[[#This Row],[order_date]],"mmmm")</f>
        <v>May</v>
      </c>
      <c r="D147" s="1" t="s">
        <v>17</v>
      </c>
      <c r="E147" s="1" t="s">
        <v>19</v>
      </c>
      <c r="F147" s="1">
        <v>4</v>
      </c>
      <c r="G147" s="1">
        <v>128.68</v>
      </c>
      <c r="H147" s="2">
        <v>0.3</v>
      </c>
      <c r="I147" s="1" t="s">
        <v>14</v>
      </c>
      <c r="J147" s="1">
        <v>1.7</v>
      </c>
      <c r="K147" s="23">
        <v>360.3</v>
      </c>
    </row>
    <row r="148" spans="1:11" x14ac:dyDescent="0.3">
      <c r="A148" s="1">
        <v>10147</v>
      </c>
      <c r="B148" s="3">
        <v>44708</v>
      </c>
      <c r="C148" s="3" t="str">
        <f>TEXT(Table1[[#This Row],[order_date]],"mmmm")</f>
        <v>May</v>
      </c>
      <c r="D148" s="1" t="s">
        <v>17</v>
      </c>
      <c r="E148" s="1" t="s">
        <v>11</v>
      </c>
      <c r="F148" s="1">
        <v>4</v>
      </c>
      <c r="G148" s="1">
        <v>584.75</v>
      </c>
      <c r="H148" s="2">
        <v>0.35</v>
      </c>
      <c r="I148" s="1" t="s">
        <v>16</v>
      </c>
      <c r="J148" s="1">
        <v>2.4</v>
      </c>
      <c r="K148" s="23">
        <v>1520.35</v>
      </c>
    </row>
    <row r="149" spans="1:11" x14ac:dyDescent="0.3">
      <c r="A149" s="1">
        <v>10148</v>
      </c>
      <c r="B149" s="3">
        <v>44709</v>
      </c>
      <c r="C149" s="3" t="str">
        <f>TEXT(Table1[[#This Row],[order_date]],"mmmm")</f>
        <v>May</v>
      </c>
      <c r="D149" s="1" t="s">
        <v>13</v>
      </c>
      <c r="E149" s="1" t="s">
        <v>15</v>
      </c>
      <c r="F149" s="1">
        <v>5</v>
      </c>
      <c r="G149" s="1">
        <v>226.56</v>
      </c>
      <c r="H149" s="2">
        <v>0.2</v>
      </c>
      <c r="I149" s="1" t="s">
        <v>14</v>
      </c>
      <c r="J149" s="1">
        <v>2.7</v>
      </c>
      <c r="K149" s="23">
        <v>906.24</v>
      </c>
    </row>
    <row r="150" spans="1:11" x14ac:dyDescent="0.3">
      <c r="A150" s="1">
        <v>10149</v>
      </c>
      <c r="B150" s="3">
        <v>44710</v>
      </c>
      <c r="C150" s="3" t="str">
        <f>TEXT(Table1[[#This Row],[order_date]],"mmmm")</f>
        <v>May</v>
      </c>
      <c r="D150" s="1" t="s">
        <v>10</v>
      </c>
      <c r="E150" s="1" t="s">
        <v>18</v>
      </c>
      <c r="F150" s="1">
        <v>4</v>
      </c>
      <c r="G150" s="1">
        <v>366.81</v>
      </c>
      <c r="H150" s="2">
        <v>0.26</v>
      </c>
      <c r="I150" s="1" t="s">
        <v>14</v>
      </c>
      <c r="J150" s="1">
        <v>2.2999999999999998</v>
      </c>
      <c r="K150" s="23">
        <v>1085.76</v>
      </c>
    </row>
    <row r="151" spans="1:11" x14ac:dyDescent="0.3">
      <c r="A151" s="1">
        <v>10150</v>
      </c>
      <c r="B151" s="3">
        <v>44711</v>
      </c>
      <c r="C151" s="3" t="str">
        <f>TEXT(Table1[[#This Row],[order_date]],"mmmm")</f>
        <v>May</v>
      </c>
      <c r="D151" s="1" t="s">
        <v>20</v>
      </c>
      <c r="E151" s="1" t="s">
        <v>19</v>
      </c>
      <c r="F151" s="1">
        <v>6</v>
      </c>
      <c r="G151" s="1">
        <v>371.84</v>
      </c>
      <c r="H151" s="2">
        <v>7.0000000000000007E-2</v>
      </c>
      <c r="I151" s="1" t="s">
        <v>16</v>
      </c>
      <c r="J151" s="1">
        <v>4.2</v>
      </c>
      <c r="K151" s="23">
        <v>2074.87</v>
      </c>
    </row>
    <row r="152" spans="1:11" x14ac:dyDescent="0.3">
      <c r="A152" s="1">
        <v>10151</v>
      </c>
      <c r="B152" s="3">
        <v>44712</v>
      </c>
      <c r="C152" s="3" t="str">
        <f>TEXT(Table1[[#This Row],[order_date]],"mmmm")</f>
        <v>May</v>
      </c>
      <c r="D152" s="1" t="s">
        <v>17</v>
      </c>
      <c r="E152" s="1" t="s">
        <v>19</v>
      </c>
      <c r="F152" s="1">
        <v>3</v>
      </c>
      <c r="G152" s="1">
        <v>342.88</v>
      </c>
      <c r="H152" s="2">
        <v>0.23</v>
      </c>
      <c r="I152" s="1" t="s">
        <v>14</v>
      </c>
      <c r="J152" s="1">
        <v>3.9</v>
      </c>
      <c r="K152" s="23">
        <v>792.05</v>
      </c>
    </row>
    <row r="153" spans="1:11" x14ac:dyDescent="0.3">
      <c r="A153" s="1">
        <v>10152</v>
      </c>
      <c r="B153" s="3">
        <v>44713</v>
      </c>
      <c r="C153" s="3" t="str">
        <f>TEXT(Table1[[#This Row],[order_date]],"mmmm")</f>
        <v>June</v>
      </c>
      <c r="D153" s="1" t="s">
        <v>10</v>
      </c>
      <c r="E153" s="1" t="s">
        <v>11</v>
      </c>
      <c r="F153" s="1">
        <v>1</v>
      </c>
      <c r="G153" s="1">
        <v>550.1</v>
      </c>
      <c r="H153" s="2">
        <v>0.23</v>
      </c>
      <c r="I153" s="1" t="s">
        <v>12</v>
      </c>
      <c r="J153" s="1">
        <v>4.0999999999999996</v>
      </c>
      <c r="K153" s="23">
        <v>423.58</v>
      </c>
    </row>
    <row r="154" spans="1:11" x14ac:dyDescent="0.3">
      <c r="A154" s="1">
        <v>10153</v>
      </c>
      <c r="B154" s="3">
        <v>44714</v>
      </c>
      <c r="C154" s="3" t="str">
        <f>TEXT(Table1[[#This Row],[order_date]],"mmmm")</f>
        <v>June</v>
      </c>
      <c r="D154" s="1" t="s">
        <v>20</v>
      </c>
      <c r="E154" s="1" t="s">
        <v>18</v>
      </c>
      <c r="F154" s="1">
        <v>1</v>
      </c>
      <c r="G154" s="1">
        <v>409.55</v>
      </c>
      <c r="H154" s="2">
        <v>0.32</v>
      </c>
      <c r="I154" s="1" t="s">
        <v>14</v>
      </c>
      <c r="J154" s="1">
        <v>4.5999999999999996</v>
      </c>
      <c r="K154" s="23">
        <v>278.49</v>
      </c>
    </row>
    <row r="155" spans="1:11" x14ac:dyDescent="0.3">
      <c r="A155" s="1">
        <v>10154</v>
      </c>
      <c r="B155" s="3">
        <v>44715</v>
      </c>
      <c r="C155" s="3" t="str">
        <f>TEXT(Table1[[#This Row],[order_date]],"mmmm")</f>
        <v>June</v>
      </c>
      <c r="D155" s="1" t="s">
        <v>20</v>
      </c>
      <c r="E155" s="1" t="s">
        <v>19</v>
      </c>
      <c r="F155" s="1">
        <v>1</v>
      </c>
      <c r="G155" s="1">
        <v>251.18</v>
      </c>
      <c r="H155" s="2">
        <v>0.28999999999999998</v>
      </c>
      <c r="I155" s="1" t="s">
        <v>16</v>
      </c>
      <c r="J155" s="1">
        <v>3.4</v>
      </c>
      <c r="K155" s="23">
        <v>178.34</v>
      </c>
    </row>
    <row r="156" spans="1:11" x14ac:dyDescent="0.3">
      <c r="A156" s="1">
        <v>10155</v>
      </c>
      <c r="B156" s="3">
        <v>44716</v>
      </c>
      <c r="C156" s="3" t="str">
        <f>TEXT(Table1[[#This Row],[order_date]],"mmmm")</f>
        <v>June</v>
      </c>
      <c r="D156" s="1" t="s">
        <v>13</v>
      </c>
      <c r="E156" s="1" t="s">
        <v>15</v>
      </c>
      <c r="F156" s="1">
        <v>3</v>
      </c>
      <c r="G156" s="1">
        <v>519.49</v>
      </c>
      <c r="H156" s="2">
        <v>0.33</v>
      </c>
      <c r="I156" s="1" t="s">
        <v>14</v>
      </c>
      <c r="J156" s="1">
        <v>3.5</v>
      </c>
      <c r="K156" s="23">
        <v>1044.17</v>
      </c>
    </row>
    <row r="157" spans="1:11" x14ac:dyDescent="0.3">
      <c r="A157" s="1">
        <v>10156</v>
      </c>
      <c r="B157" s="3">
        <v>44717</v>
      </c>
      <c r="C157" s="3" t="str">
        <f>TEXT(Table1[[#This Row],[order_date]],"mmmm")</f>
        <v>June</v>
      </c>
      <c r="D157" s="1" t="s">
        <v>13</v>
      </c>
      <c r="E157" s="1" t="s">
        <v>11</v>
      </c>
      <c r="F157" s="1">
        <v>4</v>
      </c>
      <c r="G157" s="1">
        <v>120.92</v>
      </c>
      <c r="H157" s="2">
        <v>0.3</v>
      </c>
      <c r="I157" s="1" t="s">
        <v>14</v>
      </c>
      <c r="J157" s="1">
        <v>3.9</v>
      </c>
      <c r="K157" s="23">
        <v>338.58</v>
      </c>
    </row>
    <row r="158" spans="1:11" x14ac:dyDescent="0.3">
      <c r="A158" s="1">
        <v>10157</v>
      </c>
      <c r="B158" s="3">
        <v>44718</v>
      </c>
      <c r="C158" s="3" t="str">
        <f>TEXT(Table1[[#This Row],[order_date]],"mmmm")</f>
        <v>June</v>
      </c>
      <c r="D158" s="1" t="s">
        <v>17</v>
      </c>
      <c r="E158" s="1" t="s">
        <v>18</v>
      </c>
      <c r="F158" s="1">
        <v>5</v>
      </c>
      <c r="G158" s="1">
        <v>333.38</v>
      </c>
      <c r="H158" s="2">
        <v>0.3</v>
      </c>
      <c r="I158" s="1" t="s">
        <v>16</v>
      </c>
      <c r="J158" s="1">
        <v>3.7</v>
      </c>
      <c r="K158" s="23">
        <v>1166.83</v>
      </c>
    </row>
    <row r="159" spans="1:11" x14ac:dyDescent="0.3">
      <c r="A159" s="1">
        <v>10158</v>
      </c>
      <c r="B159" s="3">
        <v>44719</v>
      </c>
      <c r="C159" s="3" t="str">
        <f>TEXT(Table1[[#This Row],[order_date]],"mmmm")</f>
        <v>June</v>
      </c>
      <c r="D159" s="1" t="s">
        <v>17</v>
      </c>
      <c r="E159" s="1" t="s">
        <v>19</v>
      </c>
      <c r="F159" s="1">
        <v>7</v>
      </c>
      <c r="G159" s="1">
        <v>571.07000000000005</v>
      </c>
      <c r="H159" s="2">
        <v>0.02</v>
      </c>
      <c r="I159" s="1" t="s">
        <v>16</v>
      </c>
      <c r="J159" s="1">
        <v>4.5</v>
      </c>
      <c r="K159" s="23">
        <v>3917.54</v>
      </c>
    </row>
    <row r="160" spans="1:11" x14ac:dyDescent="0.3">
      <c r="A160" s="1">
        <v>10159</v>
      </c>
      <c r="B160" s="3">
        <v>44720</v>
      </c>
      <c r="C160" s="3" t="str">
        <f>TEXT(Table1[[#This Row],[order_date]],"mmmm")</f>
        <v>June</v>
      </c>
      <c r="D160" s="1" t="s">
        <v>17</v>
      </c>
      <c r="E160" s="1" t="s">
        <v>19</v>
      </c>
      <c r="F160" s="1">
        <v>2</v>
      </c>
      <c r="G160" s="1">
        <v>380.86</v>
      </c>
      <c r="H160" s="2">
        <v>0.3</v>
      </c>
      <c r="I160" s="1" t="s">
        <v>16</v>
      </c>
      <c r="J160" s="1">
        <v>4.0999999999999996</v>
      </c>
      <c r="K160" s="23">
        <v>533.20000000000005</v>
      </c>
    </row>
    <row r="161" spans="1:11" x14ac:dyDescent="0.3">
      <c r="A161" s="1">
        <v>10160</v>
      </c>
      <c r="B161" s="3">
        <v>44721</v>
      </c>
      <c r="C161" s="3" t="str">
        <f>TEXT(Table1[[#This Row],[order_date]],"mmmm")</f>
        <v>June</v>
      </c>
      <c r="D161" s="1" t="s">
        <v>17</v>
      </c>
      <c r="E161" s="1" t="s">
        <v>18</v>
      </c>
      <c r="F161" s="1">
        <v>4</v>
      </c>
      <c r="G161" s="1">
        <v>492.93</v>
      </c>
      <c r="H161" s="2">
        <v>0.21</v>
      </c>
      <c r="I161" s="1" t="s">
        <v>16</v>
      </c>
      <c r="J161" s="1">
        <v>1.5</v>
      </c>
      <c r="K161" s="23">
        <v>1557.66</v>
      </c>
    </row>
    <row r="162" spans="1:11" x14ac:dyDescent="0.3">
      <c r="A162" s="1">
        <v>10161</v>
      </c>
      <c r="B162" s="3">
        <v>44722</v>
      </c>
      <c r="C162" s="3" t="str">
        <f>TEXT(Table1[[#This Row],[order_date]],"mmmm")</f>
        <v>June</v>
      </c>
      <c r="D162" s="1" t="s">
        <v>13</v>
      </c>
      <c r="E162" s="1" t="s">
        <v>11</v>
      </c>
      <c r="F162" s="1">
        <v>3</v>
      </c>
      <c r="G162" s="1">
        <v>397.33</v>
      </c>
      <c r="H162" s="2">
        <v>0.13</v>
      </c>
      <c r="I162" s="1" t="s">
        <v>16</v>
      </c>
      <c r="J162" s="1">
        <v>4.7</v>
      </c>
      <c r="K162" s="23">
        <v>1037.03</v>
      </c>
    </row>
    <row r="163" spans="1:11" x14ac:dyDescent="0.3">
      <c r="A163" s="1">
        <v>10162</v>
      </c>
      <c r="B163" s="3">
        <v>44723</v>
      </c>
      <c r="C163" s="3" t="str">
        <f>TEXT(Table1[[#This Row],[order_date]],"mmmm")</f>
        <v>June</v>
      </c>
      <c r="D163" s="1" t="s">
        <v>20</v>
      </c>
      <c r="E163" s="1" t="s">
        <v>18</v>
      </c>
      <c r="F163" s="1">
        <v>6</v>
      </c>
      <c r="G163" s="1">
        <v>506.03</v>
      </c>
      <c r="H163" s="2">
        <v>0.02</v>
      </c>
      <c r="I163" s="1" t="s">
        <v>16</v>
      </c>
      <c r="J163" s="1">
        <v>3.7</v>
      </c>
      <c r="K163" s="23">
        <v>2975.46</v>
      </c>
    </row>
    <row r="164" spans="1:11" x14ac:dyDescent="0.3">
      <c r="A164" s="1">
        <v>10163</v>
      </c>
      <c r="B164" s="3">
        <v>44724</v>
      </c>
      <c r="C164" s="3" t="str">
        <f>TEXT(Table1[[#This Row],[order_date]],"mmmm")</f>
        <v>June</v>
      </c>
      <c r="D164" s="1" t="s">
        <v>13</v>
      </c>
      <c r="E164" s="1" t="s">
        <v>18</v>
      </c>
      <c r="F164" s="1">
        <v>3</v>
      </c>
      <c r="G164" s="1">
        <v>567.53</v>
      </c>
      <c r="H164" s="2">
        <v>0.24</v>
      </c>
      <c r="I164" s="1" t="s">
        <v>16</v>
      </c>
      <c r="J164" s="1">
        <v>1.5</v>
      </c>
      <c r="K164" s="23">
        <v>1293.97</v>
      </c>
    </row>
    <row r="165" spans="1:11" x14ac:dyDescent="0.3">
      <c r="A165" s="1">
        <v>10164</v>
      </c>
      <c r="B165" s="3">
        <v>44725</v>
      </c>
      <c r="C165" s="3" t="str">
        <f>TEXT(Table1[[#This Row],[order_date]],"mmmm")</f>
        <v>June</v>
      </c>
      <c r="D165" s="1" t="s">
        <v>17</v>
      </c>
      <c r="E165" s="1" t="s">
        <v>11</v>
      </c>
      <c r="F165" s="1">
        <v>7</v>
      </c>
      <c r="G165" s="1">
        <v>174.66</v>
      </c>
      <c r="H165" s="2">
        <v>0.11</v>
      </c>
      <c r="I165" s="1" t="s">
        <v>16</v>
      </c>
      <c r="J165" s="1">
        <v>4.0999999999999996</v>
      </c>
      <c r="K165" s="23">
        <v>1088.1300000000001</v>
      </c>
    </row>
    <row r="166" spans="1:11" x14ac:dyDescent="0.3">
      <c r="A166" s="1">
        <v>10165</v>
      </c>
      <c r="B166" s="3">
        <v>44726</v>
      </c>
      <c r="C166" s="3" t="str">
        <f>TEXT(Table1[[#This Row],[order_date]],"mmmm")</f>
        <v>June</v>
      </c>
      <c r="D166" s="1" t="s">
        <v>10</v>
      </c>
      <c r="E166" s="1" t="s">
        <v>19</v>
      </c>
      <c r="F166" s="1">
        <v>1</v>
      </c>
      <c r="G166" s="1">
        <v>114.25</v>
      </c>
      <c r="H166" s="2">
        <v>0.16</v>
      </c>
      <c r="I166" s="1" t="s">
        <v>16</v>
      </c>
      <c r="J166" s="1">
        <v>2.4</v>
      </c>
      <c r="K166" s="23">
        <v>95.97</v>
      </c>
    </row>
    <row r="167" spans="1:11" x14ac:dyDescent="0.3">
      <c r="A167" s="1">
        <v>10166</v>
      </c>
      <c r="B167" s="3">
        <v>44727</v>
      </c>
      <c r="C167" s="3" t="str">
        <f>TEXT(Table1[[#This Row],[order_date]],"mmmm")</f>
        <v>June</v>
      </c>
      <c r="D167" s="1" t="s">
        <v>10</v>
      </c>
      <c r="E167" s="1" t="s">
        <v>15</v>
      </c>
      <c r="F167" s="1">
        <v>4</v>
      </c>
      <c r="G167" s="1">
        <v>298.13</v>
      </c>
      <c r="H167" s="2">
        <v>0.24</v>
      </c>
      <c r="I167" s="1" t="s">
        <v>12</v>
      </c>
      <c r="J167" s="1">
        <v>4.2</v>
      </c>
      <c r="K167" s="23">
        <v>906.32</v>
      </c>
    </row>
    <row r="168" spans="1:11" x14ac:dyDescent="0.3">
      <c r="A168" s="1">
        <v>10167</v>
      </c>
      <c r="B168" s="3">
        <v>44728</v>
      </c>
      <c r="C168" s="3" t="str">
        <f>TEXT(Table1[[#This Row],[order_date]],"mmmm")</f>
        <v>June</v>
      </c>
      <c r="D168" s="1" t="s">
        <v>20</v>
      </c>
      <c r="E168" s="1" t="s">
        <v>11</v>
      </c>
      <c r="F168" s="1">
        <v>7</v>
      </c>
      <c r="G168" s="1">
        <v>425.59</v>
      </c>
      <c r="H168" s="2">
        <v>0.32</v>
      </c>
      <c r="I168" s="1" t="s">
        <v>14</v>
      </c>
      <c r="J168" s="1">
        <v>4.8</v>
      </c>
      <c r="K168" s="23">
        <v>2025.81</v>
      </c>
    </row>
    <row r="169" spans="1:11" x14ac:dyDescent="0.3">
      <c r="A169" s="1">
        <v>10168</v>
      </c>
      <c r="B169" s="3">
        <v>44729</v>
      </c>
      <c r="C169" s="3" t="str">
        <f>TEXT(Table1[[#This Row],[order_date]],"mmmm")</f>
        <v>June</v>
      </c>
      <c r="D169" s="1" t="s">
        <v>10</v>
      </c>
      <c r="E169" s="1" t="s">
        <v>15</v>
      </c>
      <c r="F169" s="1">
        <v>1</v>
      </c>
      <c r="G169" s="1">
        <v>147.91</v>
      </c>
      <c r="H169" s="2">
        <v>0.28999999999999998</v>
      </c>
      <c r="I169" s="1" t="s">
        <v>16</v>
      </c>
      <c r="J169" s="1">
        <v>2</v>
      </c>
      <c r="K169" s="23">
        <v>105.02</v>
      </c>
    </row>
    <row r="170" spans="1:11" x14ac:dyDescent="0.3">
      <c r="A170" s="1">
        <v>10169</v>
      </c>
      <c r="B170" s="3">
        <v>44730</v>
      </c>
      <c r="C170" s="3" t="str">
        <f>TEXT(Table1[[#This Row],[order_date]],"mmmm")</f>
        <v>June</v>
      </c>
      <c r="D170" s="1" t="s">
        <v>13</v>
      </c>
      <c r="E170" s="1" t="s">
        <v>19</v>
      </c>
      <c r="F170" s="1">
        <v>2</v>
      </c>
      <c r="G170" s="1">
        <v>17.399999999999999</v>
      </c>
      <c r="H170" s="2">
        <v>0.16</v>
      </c>
      <c r="I170" s="1" t="s">
        <v>14</v>
      </c>
      <c r="J170" s="1">
        <v>4.4000000000000004</v>
      </c>
      <c r="K170" s="23">
        <v>29.23</v>
      </c>
    </row>
    <row r="171" spans="1:11" x14ac:dyDescent="0.3">
      <c r="A171" s="1">
        <v>10170</v>
      </c>
      <c r="B171" s="3">
        <v>44731</v>
      </c>
      <c r="C171" s="3" t="str">
        <f>TEXT(Table1[[#This Row],[order_date]],"mmmm")</f>
        <v>June</v>
      </c>
      <c r="D171" s="1" t="s">
        <v>10</v>
      </c>
      <c r="E171" s="1" t="s">
        <v>18</v>
      </c>
      <c r="F171" s="1">
        <v>6</v>
      </c>
      <c r="G171" s="1">
        <v>215.62</v>
      </c>
      <c r="H171" s="2">
        <v>0.14000000000000001</v>
      </c>
      <c r="I171" s="1" t="s">
        <v>14</v>
      </c>
      <c r="J171" s="1">
        <v>4.0999999999999996</v>
      </c>
      <c r="K171" s="23">
        <v>1112.5999999999999</v>
      </c>
    </row>
    <row r="172" spans="1:11" x14ac:dyDescent="0.3">
      <c r="A172" s="1">
        <v>10171</v>
      </c>
      <c r="B172" s="3">
        <v>44732</v>
      </c>
      <c r="C172" s="3" t="str">
        <f>TEXT(Table1[[#This Row],[order_date]],"mmmm")</f>
        <v>June</v>
      </c>
      <c r="D172" s="1" t="s">
        <v>17</v>
      </c>
      <c r="E172" s="1" t="s">
        <v>15</v>
      </c>
      <c r="F172" s="1">
        <v>1</v>
      </c>
      <c r="G172" s="1">
        <v>581.78</v>
      </c>
      <c r="H172" s="2">
        <v>0.08</v>
      </c>
      <c r="I172" s="1" t="s">
        <v>14</v>
      </c>
      <c r="J172" s="1">
        <v>3.7</v>
      </c>
      <c r="K172" s="23">
        <v>535.24</v>
      </c>
    </row>
    <row r="173" spans="1:11" x14ac:dyDescent="0.3">
      <c r="A173" s="1">
        <v>10172</v>
      </c>
      <c r="B173" s="3">
        <v>44733</v>
      </c>
      <c r="C173" s="3" t="str">
        <f>TEXT(Table1[[#This Row],[order_date]],"mmmm")</f>
        <v>June</v>
      </c>
      <c r="D173" s="1" t="s">
        <v>13</v>
      </c>
      <c r="E173" s="1" t="s">
        <v>19</v>
      </c>
      <c r="F173" s="1">
        <v>2</v>
      </c>
      <c r="G173" s="1">
        <v>421.56</v>
      </c>
      <c r="H173" s="2">
        <v>0.13</v>
      </c>
      <c r="I173" s="1" t="s">
        <v>12</v>
      </c>
      <c r="J173" s="1">
        <v>2.5</v>
      </c>
      <c r="K173" s="23">
        <v>733.51</v>
      </c>
    </row>
    <row r="174" spans="1:11" x14ac:dyDescent="0.3">
      <c r="A174" s="1">
        <v>10173</v>
      </c>
      <c r="B174" s="3">
        <v>44734</v>
      </c>
      <c r="C174" s="3" t="str">
        <f>TEXT(Table1[[#This Row],[order_date]],"mmmm")</f>
        <v>June</v>
      </c>
      <c r="D174" s="1" t="s">
        <v>17</v>
      </c>
      <c r="E174" s="1" t="s">
        <v>19</v>
      </c>
      <c r="F174" s="1">
        <v>3</v>
      </c>
      <c r="G174" s="1">
        <v>249.78</v>
      </c>
      <c r="H174" s="2">
        <v>0.04</v>
      </c>
      <c r="I174" s="1" t="s">
        <v>16</v>
      </c>
      <c r="J174" s="1">
        <v>1.4</v>
      </c>
      <c r="K174" s="23">
        <v>719.37</v>
      </c>
    </row>
    <row r="175" spans="1:11" x14ac:dyDescent="0.3">
      <c r="A175" s="1">
        <v>10174</v>
      </c>
      <c r="B175" s="3">
        <v>44735</v>
      </c>
      <c r="C175" s="3" t="str">
        <f>TEXT(Table1[[#This Row],[order_date]],"mmmm")</f>
        <v>June</v>
      </c>
      <c r="D175" s="1" t="s">
        <v>17</v>
      </c>
      <c r="E175" s="1" t="s">
        <v>18</v>
      </c>
      <c r="F175" s="1">
        <v>1</v>
      </c>
      <c r="G175" s="1">
        <v>127.66</v>
      </c>
      <c r="H175" s="2">
        <v>0.34</v>
      </c>
      <c r="I175" s="1" t="s">
        <v>16</v>
      </c>
      <c r="J175" s="1">
        <v>2.9</v>
      </c>
      <c r="K175" s="23">
        <v>84.26</v>
      </c>
    </row>
    <row r="176" spans="1:11" x14ac:dyDescent="0.3">
      <c r="A176" s="1">
        <v>10175</v>
      </c>
      <c r="B176" s="3">
        <v>44736</v>
      </c>
      <c r="C176" s="3" t="str">
        <f>TEXT(Table1[[#This Row],[order_date]],"mmmm")</f>
        <v>June</v>
      </c>
      <c r="D176" s="1" t="s">
        <v>17</v>
      </c>
      <c r="E176" s="1" t="s">
        <v>18</v>
      </c>
      <c r="F176" s="1">
        <v>1</v>
      </c>
      <c r="G176" s="1">
        <v>223.31</v>
      </c>
      <c r="H176" s="2">
        <v>0.2</v>
      </c>
      <c r="I176" s="1" t="s">
        <v>14</v>
      </c>
      <c r="J176" s="1">
        <v>1.4</v>
      </c>
      <c r="K176" s="23">
        <v>178.65</v>
      </c>
    </row>
    <row r="177" spans="1:11" x14ac:dyDescent="0.3">
      <c r="A177" s="1">
        <v>10176</v>
      </c>
      <c r="B177" s="3">
        <v>44737</v>
      </c>
      <c r="C177" s="3" t="str">
        <f>TEXT(Table1[[#This Row],[order_date]],"mmmm")</f>
        <v>June</v>
      </c>
      <c r="D177" s="1" t="s">
        <v>13</v>
      </c>
      <c r="E177" s="1" t="s">
        <v>19</v>
      </c>
      <c r="F177" s="1">
        <v>5</v>
      </c>
      <c r="G177" s="1">
        <v>114.36</v>
      </c>
      <c r="H177" s="2">
        <v>0.04</v>
      </c>
      <c r="I177" s="1" t="s">
        <v>16</v>
      </c>
      <c r="J177" s="1">
        <v>3</v>
      </c>
      <c r="K177" s="23">
        <v>548.92999999999995</v>
      </c>
    </row>
    <row r="178" spans="1:11" x14ac:dyDescent="0.3">
      <c r="A178" s="1">
        <v>10177</v>
      </c>
      <c r="B178" s="3">
        <v>44738</v>
      </c>
      <c r="C178" s="3" t="str">
        <f>TEXT(Table1[[#This Row],[order_date]],"mmmm")</f>
        <v>June</v>
      </c>
      <c r="D178" s="1" t="s">
        <v>20</v>
      </c>
      <c r="E178" s="1" t="s">
        <v>19</v>
      </c>
      <c r="F178" s="1">
        <v>6</v>
      </c>
      <c r="G178" s="1">
        <v>77.19</v>
      </c>
      <c r="H178" s="2">
        <v>0.12</v>
      </c>
      <c r="I178" s="1" t="s">
        <v>12</v>
      </c>
      <c r="J178" s="1">
        <v>4.3</v>
      </c>
      <c r="K178" s="23">
        <v>407.56</v>
      </c>
    </row>
    <row r="179" spans="1:11" x14ac:dyDescent="0.3">
      <c r="A179" s="1">
        <v>10178</v>
      </c>
      <c r="B179" s="3">
        <v>44739</v>
      </c>
      <c r="C179" s="3" t="str">
        <f>TEXT(Table1[[#This Row],[order_date]],"mmmm")</f>
        <v>June</v>
      </c>
      <c r="D179" s="1" t="s">
        <v>13</v>
      </c>
      <c r="E179" s="1" t="s">
        <v>15</v>
      </c>
      <c r="F179" s="1">
        <v>6</v>
      </c>
      <c r="G179" s="1">
        <v>545.44000000000005</v>
      </c>
      <c r="H179" s="2">
        <v>0.19</v>
      </c>
      <c r="I179" s="1" t="s">
        <v>14</v>
      </c>
      <c r="J179" s="1">
        <v>5</v>
      </c>
      <c r="K179" s="23">
        <v>2650.84</v>
      </c>
    </row>
    <row r="180" spans="1:11" x14ac:dyDescent="0.3">
      <c r="A180" s="1">
        <v>10179</v>
      </c>
      <c r="B180" s="3">
        <v>44740</v>
      </c>
      <c r="C180" s="3" t="str">
        <f>TEXT(Table1[[#This Row],[order_date]],"mmmm")</f>
        <v>June</v>
      </c>
      <c r="D180" s="1" t="s">
        <v>17</v>
      </c>
      <c r="E180" s="1" t="s">
        <v>19</v>
      </c>
      <c r="F180" s="1">
        <v>7</v>
      </c>
      <c r="G180" s="1">
        <v>598.63</v>
      </c>
      <c r="H180" s="2">
        <v>0.19</v>
      </c>
      <c r="I180" s="1" t="s">
        <v>14</v>
      </c>
      <c r="J180" s="1">
        <v>1.8</v>
      </c>
      <c r="K180" s="23">
        <v>3394.23</v>
      </c>
    </row>
    <row r="181" spans="1:11" x14ac:dyDescent="0.3">
      <c r="A181" s="1">
        <v>10180</v>
      </c>
      <c r="B181" s="3">
        <v>44741</v>
      </c>
      <c r="C181" s="3" t="str">
        <f>TEXT(Table1[[#This Row],[order_date]],"mmmm")</f>
        <v>June</v>
      </c>
      <c r="D181" s="1" t="s">
        <v>20</v>
      </c>
      <c r="E181" s="1" t="s">
        <v>19</v>
      </c>
      <c r="F181" s="1">
        <v>3</v>
      </c>
      <c r="G181" s="1">
        <v>111.01</v>
      </c>
      <c r="H181" s="2">
        <v>0.01</v>
      </c>
      <c r="I181" s="1" t="s">
        <v>14</v>
      </c>
      <c r="J181" s="1">
        <v>1.8</v>
      </c>
      <c r="K181" s="23">
        <v>329.7</v>
      </c>
    </row>
    <row r="182" spans="1:11" x14ac:dyDescent="0.3">
      <c r="A182" s="1">
        <v>10181</v>
      </c>
      <c r="B182" s="3">
        <v>44742</v>
      </c>
      <c r="C182" s="3" t="str">
        <f>TEXT(Table1[[#This Row],[order_date]],"mmmm")</f>
        <v>June</v>
      </c>
      <c r="D182" s="1" t="s">
        <v>13</v>
      </c>
      <c r="E182" s="1" t="s">
        <v>15</v>
      </c>
      <c r="F182" s="1">
        <v>5</v>
      </c>
      <c r="G182" s="1">
        <v>46.9</v>
      </c>
      <c r="H182" s="2">
        <v>0.33</v>
      </c>
      <c r="I182" s="1" t="s">
        <v>16</v>
      </c>
      <c r="J182" s="1">
        <v>4.2</v>
      </c>
      <c r="K182" s="23">
        <v>157.11000000000001</v>
      </c>
    </row>
    <row r="183" spans="1:11" x14ac:dyDescent="0.3">
      <c r="A183" s="1">
        <v>10182</v>
      </c>
      <c r="B183" s="3">
        <v>44743</v>
      </c>
      <c r="C183" s="3" t="str">
        <f>TEXT(Table1[[#This Row],[order_date]],"mmmm")</f>
        <v>July</v>
      </c>
      <c r="D183" s="1" t="s">
        <v>13</v>
      </c>
      <c r="E183" s="1" t="s">
        <v>11</v>
      </c>
      <c r="F183" s="1">
        <v>7</v>
      </c>
      <c r="G183" s="1">
        <v>207.89</v>
      </c>
      <c r="H183" s="2">
        <v>0.1</v>
      </c>
      <c r="I183" s="1" t="s">
        <v>16</v>
      </c>
      <c r="J183" s="1">
        <v>2.9</v>
      </c>
      <c r="K183" s="23">
        <v>1309.71</v>
      </c>
    </row>
    <row r="184" spans="1:11" x14ac:dyDescent="0.3">
      <c r="A184" s="1">
        <v>10183</v>
      </c>
      <c r="B184" s="3">
        <v>44744</v>
      </c>
      <c r="C184" s="3" t="str">
        <f>TEXT(Table1[[#This Row],[order_date]],"mmmm")</f>
        <v>July</v>
      </c>
      <c r="D184" s="1" t="s">
        <v>20</v>
      </c>
      <c r="E184" s="1" t="s">
        <v>15</v>
      </c>
      <c r="F184" s="1">
        <v>2</v>
      </c>
      <c r="G184" s="1">
        <v>285.07</v>
      </c>
      <c r="H184" s="2">
        <v>0.01</v>
      </c>
      <c r="I184" s="1" t="s">
        <v>16</v>
      </c>
      <c r="J184" s="1">
        <v>4.7</v>
      </c>
      <c r="K184" s="23">
        <v>564.44000000000005</v>
      </c>
    </row>
    <row r="185" spans="1:11" x14ac:dyDescent="0.3">
      <c r="A185" s="1">
        <v>10184</v>
      </c>
      <c r="B185" s="3">
        <v>44745</v>
      </c>
      <c r="C185" s="3" t="str">
        <f>TEXT(Table1[[#This Row],[order_date]],"mmmm")</f>
        <v>July</v>
      </c>
      <c r="D185" s="1" t="s">
        <v>17</v>
      </c>
      <c r="E185" s="1" t="s">
        <v>15</v>
      </c>
      <c r="F185" s="1">
        <v>7</v>
      </c>
      <c r="G185" s="1">
        <v>134.82</v>
      </c>
      <c r="H185" s="2">
        <v>0.03</v>
      </c>
      <c r="I185" s="1" t="s">
        <v>16</v>
      </c>
      <c r="J185" s="1">
        <v>4.0999999999999996</v>
      </c>
      <c r="K185" s="23">
        <v>915.43</v>
      </c>
    </row>
    <row r="186" spans="1:11" x14ac:dyDescent="0.3">
      <c r="A186" s="1">
        <v>10185</v>
      </c>
      <c r="B186" s="3">
        <v>44746</v>
      </c>
      <c r="C186" s="3" t="str">
        <f>TEXT(Table1[[#This Row],[order_date]],"mmmm")</f>
        <v>July</v>
      </c>
      <c r="D186" s="1" t="s">
        <v>17</v>
      </c>
      <c r="E186" s="1" t="s">
        <v>18</v>
      </c>
      <c r="F186" s="1">
        <v>2</v>
      </c>
      <c r="G186" s="1">
        <v>191.33</v>
      </c>
      <c r="H186" s="2">
        <v>0.2</v>
      </c>
      <c r="I186" s="1" t="s">
        <v>14</v>
      </c>
      <c r="J186" s="1">
        <v>3.9</v>
      </c>
      <c r="K186" s="23">
        <v>306.13</v>
      </c>
    </row>
    <row r="187" spans="1:11" x14ac:dyDescent="0.3">
      <c r="A187" s="1">
        <v>10186</v>
      </c>
      <c r="B187" s="3">
        <v>44747</v>
      </c>
      <c r="C187" s="3" t="str">
        <f>TEXT(Table1[[#This Row],[order_date]],"mmmm")</f>
        <v>July</v>
      </c>
      <c r="D187" s="1" t="s">
        <v>10</v>
      </c>
      <c r="E187" s="1" t="s">
        <v>15</v>
      </c>
      <c r="F187" s="1">
        <v>3</v>
      </c>
      <c r="G187" s="1">
        <v>132.51</v>
      </c>
      <c r="H187" s="2">
        <v>0.05</v>
      </c>
      <c r="I187" s="1" t="s">
        <v>16</v>
      </c>
      <c r="J187" s="1">
        <v>1.4</v>
      </c>
      <c r="K187" s="23">
        <v>377.65</v>
      </c>
    </row>
    <row r="188" spans="1:11" x14ac:dyDescent="0.3">
      <c r="A188" s="1">
        <v>10187</v>
      </c>
      <c r="B188" s="3">
        <v>44748</v>
      </c>
      <c r="C188" s="3" t="str">
        <f>TEXT(Table1[[#This Row],[order_date]],"mmmm")</f>
        <v>July</v>
      </c>
      <c r="D188" s="1" t="s">
        <v>17</v>
      </c>
      <c r="E188" s="1" t="s">
        <v>19</v>
      </c>
      <c r="F188" s="1">
        <v>6</v>
      </c>
      <c r="G188" s="1">
        <v>467.94</v>
      </c>
      <c r="H188" s="2">
        <v>0.01</v>
      </c>
      <c r="I188" s="1" t="s">
        <v>14</v>
      </c>
      <c r="J188" s="1">
        <v>1.1000000000000001</v>
      </c>
      <c r="K188" s="23">
        <v>2779.56</v>
      </c>
    </row>
    <row r="189" spans="1:11" x14ac:dyDescent="0.3">
      <c r="A189" s="1">
        <v>10188</v>
      </c>
      <c r="B189" s="3">
        <v>44749</v>
      </c>
      <c r="C189" s="3" t="str">
        <f>TEXT(Table1[[#This Row],[order_date]],"mmmm")</f>
        <v>July</v>
      </c>
      <c r="D189" s="1" t="s">
        <v>13</v>
      </c>
      <c r="E189" s="1" t="s">
        <v>19</v>
      </c>
      <c r="F189" s="1">
        <v>2</v>
      </c>
      <c r="G189" s="1">
        <v>431.86</v>
      </c>
      <c r="H189" s="2">
        <v>0.13</v>
      </c>
      <c r="I189" s="1" t="s">
        <v>14</v>
      </c>
      <c r="J189" s="1">
        <v>2.2999999999999998</v>
      </c>
      <c r="K189" s="23">
        <v>751.44</v>
      </c>
    </row>
    <row r="190" spans="1:11" x14ac:dyDescent="0.3">
      <c r="A190" s="1">
        <v>10189</v>
      </c>
      <c r="B190" s="3">
        <v>44750</v>
      </c>
      <c r="C190" s="3" t="str">
        <f>TEXT(Table1[[#This Row],[order_date]],"mmmm")</f>
        <v>July</v>
      </c>
      <c r="D190" s="1" t="s">
        <v>10</v>
      </c>
      <c r="E190" s="1" t="s">
        <v>19</v>
      </c>
      <c r="F190" s="1">
        <v>3</v>
      </c>
      <c r="G190" s="1">
        <v>386.45</v>
      </c>
      <c r="H190" s="2">
        <v>0.22</v>
      </c>
      <c r="I190" s="1" t="s">
        <v>16</v>
      </c>
      <c r="J190" s="1">
        <v>1.9</v>
      </c>
      <c r="K190" s="23">
        <v>904.29</v>
      </c>
    </row>
    <row r="191" spans="1:11" x14ac:dyDescent="0.3">
      <c r="A191" s="1">
        <v>10190</v>
      </c>
      <c r="B191" s="3">
        <v>44751</v>
      </c>
      <c r="C191" s="3" t="str">
        <f>TEXT(Table1[[#This Row],[order_date]],"mmmm")</f>
        <v>July</v>
      </c>
      <c r="D191" s="1" t="s">
        <v>20</v>
      </c>
      <c r="E191" s="1" t="s">
        <v>11</v>
      </c>
      <c r="F191" s="1">
        <v>7</v>
      </c>
      <c r="G191" s="1">
        <v>241.52</v>
      </c>
      <c r="H191" s="2">
        <v>0.04</v>
      </c>
      <c r="I191" s="1" t="s">
        <v>12</v>
      </c>
      <c r="J191" s="1">
        <v>3.8</v>
      </c>
      <c r="K191" s="23">
        <v>1623.01</v>
      </c>
    </row>
    <row r="192" spans="1:11" x14ac:dyDescent="0.3">
      <c r="A192" s="1">
        <v>10191</v>
      </c>
      <c r="B192" s="3">
        <v>44752</v>
      </c>
      <c r="C192" s="3" t="str">
        <f>TEXT(Table1[[#This Row],[order_date]],"mmmm")</f>
        <v>July</v>
      </c>
      <c r="D192" s="1" t="s">
        <v>17</v>
      </c>
      <c r="E192" s="1" t="s">
        <v>19</v>
      </c>
      <c r="F192" s="1">
        <v>2</v>
      </c>
      <c r="G192" s="1">
        <v>546.79</v>
      </c>
      <c r="H192" s="2">
        <v>0.11</v>
      </c>
      <c r="I192" s="1" t="s">
        <v>16</v>
      </c>
      <c r="J192" s="1">
        <v>2.8</v>
      </c>
      <c r="K192" s="23">
        <v>973.29</v>
      </c>
    </row>
    <row r="193" spans="1:11" x14ac:dyDescent="0.3">
      <c r="A193" s="1">
        <v>10192</v>
      </c>
      <c r="B193" s="3">
        <v>44753</v>
      </c>
      <c r="C193" s="3" t="str">
        <f>TEXT(Table1[[#This Row],[order_date]],"mmmm")</f>
        <v>July</v>
      </c>
      <c r="D193" s="1" t="s">
        <v>17</v>
      </c>
      <c r="E193" s="1" t="s">
        <v>11</v>
      </c>
      <c r="F193" s="1">
        <v>4</v>
      </c>
      <c r="G193" s="1">
        <v>582.17999999999995</v>
      </c>
      <c r="H193" s="2">
        <v>0.15</v>
      </c>
      <c r="I193" s="1" t="s">
        <v>16</v>
      </c>
      <c r="J193" s="1">
        <v>3.1</v>
      </c>
      <c r="K193" s="23">
        <v>1979.41</v>
      </c>
    </row>
    <row r="194" spans="1:11" x14ac:dyDescent="0.3">
      <c r="A194" s="1">
        <v>10193</v>
      </c>
      <c r="B194" s="3">
        <v>44754</v>
      </c>
      <c r="C194" s="3" t="str">
        <f>TEXT(Table1[[#This Row],[order_date]],"mmmm")</f>
        <v>July</v>
      </c>
      <c r="D194" s="1" t="s">
        <v>17</v>
      </c>
      <c r="E194" s="1" t="s">
        <v>19</v>
      </c>
      <c r="F194" s="1">
        <v>1</v>
      </c>
      <c r="G194" s="1">
        <v>116.58</v>
      </c>
      <c r="H194" s="2">
        <v>0.06</v>
      </c>
      <c r="I194" s="1" t="s">
        <v>14</v>
      </c>
      <c r="J194" s="1">
        <v>4.3</v>
      </c>
      <c r="K194" s="23">
        <v>109.59</v>
      </c>
    </row>
    <row r="195" spans="1:11" x14ac:dyDescent="0.3">
      <c r="A195" s="1">
        <v>10194</v>
      </c>
      <c r="B195" s="3">
        <v>44755</v>
      </c>
      <c r="C195" s="3" t="str">
        <f>TEXT(Table1[[#This Row],[order_date]],"mmmm")</f>
        <v>July</v>
      </c>
      <c r="D195" s="1" t="s">
        <v>13</v>
      </c>
      <c r="E195" s="1" t="s">
        <v>15</v>
      </c>
      <c r="F195" s="1">
        <v>7</v>
      </c>
      <c r="G195" s="1">
        <v>145.46</v>
      </c>
      <c r="H195" s="2">
        <v>0.18</v>
      </c>
      <c r="I195" s="1" t="s">
        <v>14</v>
      </c>
      <c r="J195" s="1">
        <v>2.9</v>
      </c>
      <c r="K195" s="23">
        <v>834.94</v>
      </c>
    </row>
    <row r="196" spans="1:11" x14ac:dyDescent="0.3">
      <c r="A196" s="1">
        <v>10195</v>
      </c>
      <c r="B196" s="3">
        <v>44756</v>
      </c>
      <c r="C196" s="3" t="str">
        <f>TEXT(Table1[[#This Row],[order_date]],"mmmm")</f>
        <v>July</v>
      </c>
      <c r="D196" s="1" t="s">
        <v>13</v>
      </c>
      <c r="E196" s="1" t="s">
        <v>18</v>
      </c>
      <c r="F196" s="1">
        <v>6</v>
      </c>
      <c r="G196" s="1">
        <v>322.49</v>
      </c>
      <c r="H196" s="2">
        <v>0.03</v>
      </c>
      <c r="I196" s="1" t="s">
        <v>14</v>
      </c>
      <c r="J196" s="1">
        <v>3.2</v>
      </c>
      <c r="K196" s="23">
        <v>1876.89</v>
      </c>
    </row>
    <row r="197" spans="1:11" x14ac:dyDescent="0.3">
      <c r="A197" s="1">
        <v>10196</v>
      </c>
      <c r="B197" s="3">
        <v>44757</v>
      </c>
      <c r="C197" s="3" t="str">
        <f>TEXT(Table1[[#This Row],[order_date]],"mmmm")</f>
        <v>July</v>
      </c>
      <c r="D197" s="1" t="s">
        <v>17</v>
      </c>
      <c r="E197" s="1" t="s">
        <v>19</v>
      </c>
      <c r="F197" s="1">
        <v>7</v>
      </c>
      <c r="G197" s="1">
        <v>68.38</v>
      </c>
      <c r="H197" s="2">
        <v>0.02</v>
      </c>
      <c r="I197" s="1" t="s">
        <v>12</v>
      </c>
      <c r="J197" s="1">
        <v>4.4000000000000004</v>
      </c>
      <c r="K197" s="23">
        <v>469.09</v>
      </c>
    </row>
    <row r="198" spans="1:11" x14ac:dyDescent="0.3">
      <c r="A198" s="1">
        <v>10197</v>
      </c>
      <c r="B198" s="3">
        <v>44758</v>
      </c>
      <c r="C198" s="3" t="str">
        <f>TEXT(Table1[[#This Row],[order_date]],"mmmm")</f>
        <v>July</v>
      </c>
      <c r="D198" s="1" t="s">
        <v>10</v>
      </c>
      <c r="E198" s="1" t="s">
        <v>11</v>
      </c>
      <c r="F198" s="1">
        <v>4</v>
      </c>
      <c r="G198" s="1">
        <v>270.32</v>
      </c>
      <c r="H198" s="2">
        <v>0.18</v>
      </c>
      <c r="I198" s="1" t="s">
        <v>12</v>
      </c>
      <c r="J198" s="1">
        <v>2.7</v>
      </c>
      <c r="K198" s="23">
        <v>886.65</v>
      </c>
    </row>
    <row r="199" spans="1:11" x14ac:dyDescent="0.3">
      <c r="A199" s="1">
        <v>10198</v>
      </c>
      <c r="B199" s="3">
        <v>44759</v>
      </c>
      <c r="C199" s="3" t="str">
        <f>TEXT(Table1[[#This Row],[order_date]],"mmmm")</f>
        <v>July</v>
      </c>
      <c r="D199" s="1" t="s">
        <v>13</v>
      </c>
      <c r="E199" s="1" t="s">
        <v>11</v>
      </c>
      <c r="F199" s="1">
        <v>3</v>
      </c>
      <c r="G199" s="1">
        <v>355.35</v>
      </c>
      <c r="H199" s="2">
        <v>0.09</v>
      </c>
      <c r="I199" s="1" t="s">
        <v>12</v>
      </c>
      <c r="J199" s="1">
        <v>1.3</v>
      </c>
      <c r="K199" s="23">
        <v>970.11</v>
      </c>
    </row>
    <row r="200" spans="1:11" x14ac:dyDescent="0.3">
      <c r="A200" s="1">
        <v>10199</v>
      </c>
      <c r="B200" s="3">
        <v>44760</v>
      </c>
      <c r="C200" s="3" t="str">
        <f>TEXT(Table1[[#This Row],[order_date]],"mmmm")</f>
        <v>July</v>
      </c>
      <c r="D200" s="1" t="s">
        <v>17</v>
      </c>
      <c r="E200" s="1" t="s">
        <v>18</v>
      </c>
      <c r="F200" s="1">
        <v>3</v>
      </c>
      <c r="G200" s="1">
        <v>320.41000000000003</v>
      </c>
      <c r="H200" s="2">
        <v>0.03</v>
      </c>
      <c r="I200" s="1" t="s">
        <v>14</v>
      </c>
      <c r="J200" s="1">
        <v>3.1</v>
      </c>
      <c r="K200" s="23">
        <v>932.39</v>
      </c>
    </row>
    <row r="201" spans="1:11" x14ac:dyDescent="0.3">
      <c r="A201" s="1">
        <v>10200</v>
      </c>
      <c r="B201" s="3">
        <v>44761</v>
      </c>
      <c r="C201" s="3" t="str">
        <f>TEXT(Table1[[#This Row],[order_date]],"mmmm")</f>
        <v>July</v>
      </c>
      <c r="D201" s="1" t="s">
        <v>13</v>
      </c>
      <c r="E201" s="1" t="s">
        <v>19</v>
      </c>
      <c r="F201" s="1">
        <v>7</v>
      </c>
      <c r="G201" s="1">
        <v>208.58</v>
      </c>
      <c r="H201" s="2">
        <v>0.15</v>
      </c>
      <c r="I201" s="1" t="s">
        <v>16</v>
      </c>
      <c r="J201" s="1">
        <v>3.3</v>
      </c>
      <c r="K201" s="23">
        <v>1241.05</v>
      </c>
    </row>
    <row r="202" spans="1:11" x14ac:dyDescent="0.3">
      <c r="A202" s="1">
        <v>10201</v>
      </c>
      <c r="B202" s="3">
        <v>44762</v>
      </c>
      <c r="C202" s="3" t="str">
        <f>TEXT(Table1[[#This Row],[order_date]],"mmmm")</f>
        <v>July</v>
      </c>
      <c r="D202" s="1" t="s">
        <v>20</v>
      </c>
      <c r="E202" s="1" t="s">
        <v>15</v>
      </c>
      <c r="F202" s="1">
        <v>4</v>
      </c>
      <c r="G202" s="1">
        <v>332.33</v>
      </c>
      <c r="H202" s="2">
        <v>0.32</v>
      </c>
      <c r="I202" s="1" t="s">
        <v>16</v>
      </c>
      <c r="J202" s="1">
        <v>3</v>
      </c>
      <c r="K202" s="23">
        <v>903.94</v>
      </c>
    </row>
    <row r="203" spans="1:11" x14ac:dyDescent="0.3">
      <c r="A203" s="1">
        <v>10202</v>
      </c>
      <c r="B203" s="3">
        <v>44763</v>
      </c>
      <c r="C203" s="3" t="str">
        <f>TEXT(Table1[[#This Row],[order_date]],"mmmm")</f>
        <v>July</v>
      </c>
      <c r="D203" s="1" t="s">
        <v>17</v>
      </c>
      <c r="E203" s="1" t="s">
        <v>19</v>
      </c>
      <c r="F203" s="1">
        <v>7</v>
      </c>
      <c r="G203" s="1">
        <v>575.9</v>
      </c>
      <c r="H203" s="2">
        <v>0.25</v>
      </c>
      <c r="I203" s="1" t="s">
        <v>16</v>
      </c>
      <c r="J203" s="1">
        <v>2</v>
      </c>
      <c r="K203" s="23">
        <v>3023.48</v>
      </c>
    </row>
    <row r="204" spans="1:11" x14ac:dyDescent="0.3">
      <c r="A204" s="1">
        <v>10203</v>
      </c>
      <c r="B204" s="3">
        <v>44764</v>
      </c>
      <c r="C204" s="3" t="str">
        <f>TEXT(Table1[[#This Row],[order_date]],"mmmm")</f>
        <v>July</v>
      </c>
      <c r="D204" s="1" t="s">
        <v>17</v>
      </c>
      <c r="E204" s="1" t="s">
        <v>19</v>
      </c>
      <c r="F204" s="1">
        <v>1</v>
      </c>
      <c r="G204" s="1">
        <v>135.52000000000001</v>
      </c>
      <c r="H204" s="2">
        <v>0.28999999999999998</v>
      </c>
      <c r="I204" s="1" t="s">
        <v>16</v>
      </c>
      <c r="J204" s="1">
        <v>1.9</v>
      </c>
      <c r="K204" s="23">
        <v>96.22</v>
      </c>
    </row>
    <row r="205" spans="1:11" x14ac:dyDescent="0.3">
      <c r="A205" s="1">
        <v>10204</v>
      </c>
      <c r="B205" s="3">
        <v>44765</v>
      </c>
      <c r="C205" s="3" t="str">
        <f>TEXT(Table1[[#This Row],[order_date]],"mmmm")</f>
        <v>July</v>
      </c>
      <c r="D205" s="1" t="s">
        <v>20</v>
      </c>
      <c r="E205" s="1" t="s">
        <v>18</v>
      </c>
      <c r="F205" s="1">
        <v>1</v>
      </c>
      <c r="G205" s="1">
        <v>398.08</v>
      </c>
      <c r="H205" s="2">
        <v>0.31</v>
      </c>
      <c r="I205" s="1" t="s">
        <v>16</v>
      </c>
      <c r="J205" s="1">
        <v>2.5</v>
      </c>
      <c r="K205" s="23">
        <v>274.68</v>
      </c>
    </row>
    <row r="206" spans="1:11" x14ac:dyDescent="0.3">
      <c r="A206" s="1">
        <v>10205</v>
      </c>
      <c r="B206" s="3">
        <v>44766</v>
      </c>
      <c r="C206" s="3" t="str">
        <f>TEXT(Table1[[#This Row],[order_date]],"mmmm")</f>
        <v>July</v>
      </c>
      <c r="D206" s="1" t="s">
        <v>13</v>
      </c>
      <c r="E206" s="1" t="s">
        <v>19</v>
      </c>
      <c r="F206" s="1">
        <v>5</v>
      </c>
      <c r="G206" s="1">
        <v>40.39</v>
      </c>
      <c r="H206" s="2">
        <v>0.34</v>
      </c>
      <c r="I206" s="1" t="s">
        <v>14</v>
      </c>
      <c r="J206" s="1">
        <v>1.7</v>
      </c>
      <c r="K206" s="23">
        <v>133.29</v>
      </c>
    </row>
    <row r="207" spans="1:11" x14ac:dyDescent="0.3">
      <c r="A207" s="1">
        <v>10206</v>
      </c>
      <c r="B207" s="3">
        <v>44767</v>
      </c>
      <c r="C207" s="3" t="str">
        <f>TEXT(Table1[[#This Row],[order_date]],"mmmm")</f>
        <v>July</v>
      </c>
      <c r="D207" s="1" t="s">
        <v>13</v>
      </c>
      <c r="E207" s="1" t="s">
        <v>15</v>
      </c>
      <c r="F207" s="1">
        <v>2</v>
      </c>
      <c r="G207" s="1">
        <v>53.85</v>
      </c>
      <c r="H207" s="2">
        <v>0.27</v>
      </c>
      <c r="I207" s="1" t="s">
        <v>14</v>
      </c>
      <c r="J207" s="1">
        <v>3.7</v>
      </c>
      <c r="K207" s="23">
        <v>78.62</v>
      </c>
    </row>
    <row r="208" spans="1:11" x14ac:dyDescent="0.3">
      <c r="A208" s="1">
        <v>10207</v>
      </c>
      <c r="B208" s="3">
        <v>44768</v>
      </c>
      <c r="C208" s="3" t="str">
        <f>TEXT(Table1[[#This Row],[order_date]],"mmmm")</f>
        <v>July</v>
      </c>
      <c r="D208" s="1" t="s">
        <v>13</v>
      </c>
      <c r="E208" s="1" t="s">
        <v>11</v>
      </c>
      <c r="F208" s="1">
        <v>5</v>
      </c>
      <c r="G208" s="1">
        <v>337.82</v>
      </c>
      <c r="H208" s="2">
        <v>0.21</v>
      </c>
      <c r="I208" s="1" t="s">
        <v>14</v>
      </c>
      <c r="J208" s="1">
        <v>3.5</v>
      </c>
      <c r="K208" s="23">
        <v>1334.39</v>
      </c>
    </row>
    <row r="209" spans="1:11" x14ac:dyDescent="0.3">
      <c r="A209" s="1">
        <v>10208</v>
      </c>
      <c r="B209" s="3">
        <v>44769</v>
      </c>
      <c r="C209" s="3" t="str">
        <f>TEXT(Table1[[#This Row],[order_date]],"mmmm")</f>
        <v>July</v>
      </c>
      <c r="D209" s="1" t="s">
        <v>17</v>
      </c>
      <c r="E209" s="1" t="s">
        <v>18</v>
      </c>
      <c r="F209" s="1">
        <v>1</v>
      </c>
      <c r="G209" s="1">
        <v>76.39</v>
      </c>
      <c r="H209" s="2">
        <v>0.13</v>
      </c>
      <c r="I209" s="1" t="s">
        <v>14</v>
      </c>
      <c r="J209" s="1">
        <v>3.5</v>
      </c>
      <c r="K209" s="23">
        <v>66.459999999999994</v>
      </c>
    </row>
    <row r="210" spans="1:11" x14ac:dyDescent="0.3">
      <c r="A210" s="1">
        <v>10209</v>
      </c>
      <c r="B210" s="3">
        <v>44770</v>
      </c>
      <c r="C210" s="3" t="str">
        <f>TEXT(Table1[[#This Row],[order_date]],"mmmm")</f>
        <v>July</v>
      </c>
      <c r="D210" s="1" t="s">
        <v>17</v>
      </c>
      <c r="E210" s="1" t="s">
        <v>15</v>
      </c>
      <c r="F210" s="1">
        <v>4</v>
      </c>
      <c r="G210" s="1">
        <v>28.07</v>
      </c>
      <c r="H210" s="2">
        <v>0.06</v>
      </c>
      <c r="I210" s="1" t="s">
        <v>14</v>
      </c>
      <c r="J210" s="1">
        <v>1.9</v>
      </c>
      <c r="K210" s="23">
        <v>105.54</v>
      </c>
    </row>
    <row r="211" spans="1:11" x14ac:dyDescent="0.3">
      <c r="A211" s="1">
        <v>10210</v>
      </c>
      <c r="B211" s="3">
        <v>44771</v>
      </c>
      <c r="C211" s="3" t="str">
        <f>TEXT(Table1[[#This Row],[order_date]],"mmmm")</f>
        <v>July</v>
      </c>
      <c r="D211" s="1" t="s">
        <v>13</v>
      </c>
      <c r="E211" s="1" t="s">
        <v>11</v>
      </c>
      <c r="F211" s="1">
        <v>2</v>
      </c>
      <c r="G211" s="1">
        <v>115.34</v>
      </c>
      <c r="H211" s="2">
        <v>0.24</v>
      </c>
      <c r="I211" s="1" t="s">
        <v>14</v>
      </c>
      <c r="J211" s="1">
        <v>2</v>
      </c>
      <c r="K211" s="23">
        <v>175.32</v>
      </c>
    </row>
    <row r="212" spans="1:11" x14ac:dyDescent="0.3">
      <c r="A212" s="1">
        <v>10211</v>
      </c>
      <c r="B212" s="3">
        <v>44772</v>
      </c>
      <c r="C212" s="3" t="str">
        <f>TEXT(Table1[[#This Row],[order_date]],"mmmm")</f>
        <v>July</v>
      </c>
      <c r="D212" s="1" t="s">
        <v>17</v>
      </c>
      <c r="E212" s="1" t="s">
        <v>18</v>
      </c>
      <c r="F212" s="1">
        <v>4</v>
      </c>
      <c r="G212" s="1">
        <v>345.44</v>
      </c>
      <c r="H212" s="2">
        <v>0.35</v>
      </c>
      <c r="I212" s="1" t="s">
        <v>14</v>
      </c>
      <c r="J212" s="1">
        <v>4.0999999999999996</v>
      </c>
      <c r="K212" s="23">
        <v>898.14</v>
      </c>
    </row>
    <row r="213" spans="1:11" x14ac:dyDescent="0.3">
      <c r="A213" s="1">
        <v>10212</v>
      </c>
      <c r="B213" s="3">
        <v>44773</v>
      </c>
      <c r="C213" s="3" t="str">
        <f>TEXT(Table1[[#This Row],[order_date]],"mmmm")</f>
        <v>July</v>
      </c>
      <c r="D213" s="1" t="s">
        <v>17</v>
      </c>
      <c r="E213" s="1" t="s">
        <v>18</v>
      </c>
      <c r="F213" s="1">
        <v>5</v>
      </c>
      <c r="G213" s="1">
        <v>426.45</v>
      </c>
      <c r="H213" s="2">
        <v>0.16</v>
      </c>
      <c r="I213" s="1" t="s">
        <v>16</v>
      </c>
      <c r="J213" s="1">
        <v>3.8</v>
      </c>
      <c r="K213" s="23">
        <v>1791.09</v>
      </c>
    </row>
    <row r="214" spans="1:11" x14ac:dyDescent="0.3">
      <c r="A214" s="1">
        <v>10213</v>
      </c>
      <c r="B214" s="3">
        <v>44774</v>
      </c>
      <c r="C214" s="3" t="str">
        <f>TEXT(Table1[[#This Row],[order_date]],"mmmm")</f>
        <v>August</v>
      </c>
      <c r="D214" s="1" t="s">
        <v>20</v>
      </c>
      <c r="E214" s="1" t="s">
        <v>11</v>
      </c>
      <c r="F214" s="1">
        <v>3</v>
      </c>
      <c r="G214" s="1">
        <v>133.44999999999999</v>
      </c>
      <c r="H214" s="2">
        <v>0.25</v>
      </c>
      <c r="I214" s="1" t="s">
        <v>12</v>
      </c>
      <c r="J214" s="1">
        <v>4.5</v>
      </c>
      <c r="K214" s="23">
        <v>300.26</v>
      </c>
    </row>
    <row r="215" spans="1:11" x14ac:dyDescent="0.3">
      <c r="A215" s="1">
        <v>10214</v>
      </c>
      <c r="B215" s="3">
        <v>44775</v>
      </c>
      <c r="C215" s="3" t="str">
        <f>TEXT(Table1[[#This Row],[order_date]],"mmmm")</f>
        <v>August</v>
      </c>
      <c r="D215" s="1" t="s">
        <v>10</v>
      </c>
      <c r="E215" s="1" t="s">
        <v>11</v>
      </c>
      <c r="F215" s="1">
        <v>4</v>
      </c>
      <c r="G215" s="1">
        <v>405.93</v>
      </c>
      <c r="H215" s="2">
        <v>0.17</v>
      </c>
      <c r="I215" s="1" t="s">
        <v>12</v>
      </c>
      <c r="J215" s="1">
        <v>2.6</v>
      </c>
      <c r="K215" s="23">
        <v>1347.69</v>
      </c>
    </row>
    <row r="216" spans="1:11" x14ac:dyDescent="0.3">
      <c r="A216" s="1">
        <v>10215</v>
      </c>
      <c r="B216" s="3">
        <v>44776</v>
      </c>
      <c r="C216" s="3" t="str">
        <f>TEXT(Table1[[#This Row],[order_date]],"mmmm")</f>
        <v>August</v>
      </c>
      <c r="D216" s="1" t="s">
        <v>20</v>
      </c>
      <c r="E216" s="1" t="s">
        <v>15</v>
      </c>
      <c r="F216" s="1">
        <v>5</v>
      </c>
      <c r="G216" s="1">
        <v>121.75</v>
      </c>
      <c r="H216" s="2">
        <v>0.15</v>
      </c>
      <c r="I216" s="1" t="s">
        <v>14</v>
      </c>
      <c r="J216" s="1">
        <v>3.2</v>
      </c>
      <c r="K216" s="23">
        <v>517.44000000000005</v>
      </c>
    </row>
    <row r="217" spans="1:11" x14ac:dyDescent="0.3">
      <c r="A217" s="1">
        <v>10216</v>
      </c>
      <c r="B217" s="3">
        <v>44777</v>
      </c>
      <c r="C217" s="3" t="str">
        <f>TEXT(Table1[[#This Row],[order_date]],"mmmm")</f>
        <v>August</v>
      </c>
      <c r="D217" s="1" t="s">
        <v>10</v>
      </c>
      <c r="E217" s="1" t="s">
        <v>19</v>
      </c>
      <c r="F217" s="1">
        <v>5</v>
      </c>
      <c r="G217" s="1">
        <v>373.87</v>
      </c>
      <c r="H217" s="2">
        <v>0.14000000000000001</v>
      </c>
      <c r="I217" s="1" t="s">
        <v>14</v>
      </c>
      <c r="J217" s="1">
        <v>4</v>
      </c>
      <c r="K217" s="23">
        <v>1607.64</v>
      </c>
    </row>
    <row r="218" spans="1:11" x14ac:dyDescent="0.3">
      <c r="A218" s="1">
        <v>10217</v>
      </c>
      <c r="B218" s="3">
        <v>44778</v>
      </c>
      <c r="C218" s="3" t="str">
        <f>TEXT(Table1[[#This Row],[order_date]],"mmmm")</f>
        <v>August</v>
      </c>
      <c r="D218" s="1" t="s">
        <v>17</v>
      </c>
      <c r="E218" s="1" t="s">
        <v>19</v>
      </c>
      <c r="F218" s="1">
        <v>5</v>
      </c>
      <c r="G218" s="1">
        <v>256</v>
      </c>
      <c r="H218" s="2">
        <v>0.18</v>
      </c>
      <c r="I218" s="1" t="s">
        <v>14</v>
      </c>
      <c r="J218" s="1">
        <v>4.9000000000000004</v>
      </c>
      <c r="K218" s="23">
        <v>1049.5999999999999</v>
      </c>
    </row>
    <row r="219" spans="1:11" x14ac:dyDescent="0.3">
      <c r="A219" s="1">
        <v>10218</v>
      </c>
      <c r="B219" s="3">
        <v>44779</v>
      </c>
      <c r="C219" s="3" t="str">
        <f>TEXT(Table1[[#This Row],[order_date]],"mmmm")</f>
        <v>August</v>
      </c>
      <c r="D219" s="1" t="s">
        <v>10</v>
      </c>
      <c r="E219" s="1" t="s">
        <v>19</v>
      </c>
      <c r="F219" s="1">
        <v>3</v>
      </c>
      <c r="G219" s="1">
        <v>397.47</v>
      </c>
      <c r="H219" s="2">
        <v>0.13</v>
      </c>
      <c r="I219" s="1" t="s">
        <v>12</v>
      </c>
      <c r="J219" s="1">
        <v>5</v>
      </c>
      <c r="K219" s="23">
        <v>1037.4000000000001</v>
      </c>
    </row>
    <row r="220" spans="1:11" x14ac:dyDescent="0.3">
      <c r="A220" s="1">
        <v>10219</v>
      </c>
      <c r="B220" s="3">
        <v>44780</v>
      </c>
      <c r="C220" s="3" t="str">
        <f>TEXT(Table1[[#This Row],[order_date]],"mmmm")</f>
        <v>August</v>
      </c>
      <c r="D220" s="1" t="s">
        <v>17</v>
      </c>
      <c r="E220" s="1" t="s">
        <v>19</v>
      </c>
      <c r="F220" s="1">
        <v>3</v>
      </c>
      <c r="G220" s="1">
        <v>597.11</v>
      </c>
      <c r="H220" s="2">
        <v>0.26</v>
      </c>
      <c r="I220" s="1" t="s">
        <v>16</v>
      </c>
      <c r="J220" s="1">
        <v>5</v>
      </c>
      <c r="K220" s="23">
        <v>1325.58</v>
      </c>
    </row>
    <row r="221" spans="1:11" x14ac:dyDescent="0.3">
      <c r="A221" s="1">
        <v>10220</v>
      </c>
      <c r="B221" s="3">
        <v>44781</v>
      </c>
      <c r="C221" s="3" t="str">
        <f>TEXT(Table1[[#This Row],[order_date]],"mmmm")</f>
        <v>August</v>
      </c>
      <c r="D221" s="1" t="s">
        <v>10</v>
      </c>
      <c r="E221" s="1" t="s">
        <v>19</v>
      </c>
      <c r="F221" s="1">
        <v>7</v>
      </c>
      <c r="G221" s="1">
        <v>563.62</v>
      </c>
      <c r="H221" s="2">
        <v>0.31</v>
      </c>
      <c r="I221" s="1" t="s">
        <v>14</v>
      </c>
      <c r="J221" s="1">
        <v>4.5999999999999996</v>
      </c>
      <c r="K221" s="23">
        <v>2722.28</v>
      </c>
    </row>
    <row r="222" spans="1:11" x14ac:dyDescent="0.3">
      <c r="A222" s="1">
        <v>10221</v>
      </c>
      <c r="B222" s="3">
        <v>44782</v>
      </c>
      <c r="C222" s="3" t="str">
        <f>TEXT(Table1[[#This Row],[order_date]],"mmmm")</f>
        <v>August</v>
      </c>
      <c r="D222" s="1" t="s">
        <v>10</v>
      </c>
      <c r="E222" s="1" t="s">
        <v>15</v>
      </c>
      <c r="F222" s="1">
        <v>3</v>
      </c>
      <c r="G222" s="1">
        <v>17.5</v>
      </c>
      <c r="H222" s="2">
        <v>0.31</v>
      </c>
      <c r="I222" s="1" t="s">
        <v>12</v>
      </c>
      <c r="J222" s="1">
        <v>3.6</v>
      </c>
      <c r="K222" s="23">
        <v>36.22</v>
      </c>
    </row>
    <row r="223" spans="1:11" x14ac:dyDescent="0.3">
      <c r="A223" s="1">
        <v>10222</v>
      </c>
      <c r="B223" s="3">
        <v>44783</v>
      </c>
      <c r="C223" s="3" t="str">
        <f>TEXT(Table1[[#This Row],[order_date]],"mmmm")</f>
        <v>August</v>
      </c>
      <c r="D223" s="1" t="s">
        <v>20</v>
      </c>
      <c r="E223" s="1" t="s">
        <v>18</v>
      </c>
      <c r="F223" s="1">
        <v>2</v>
      </c>
      <c r="G223" s="1">
        <v>532.98</v>
      </c>
      <c r="H223" s="2">
        <v>0.08</v>
      </c>
      <c r="I223" s="1" t="s">
        <v>14</v>
      </c>
      <c r="J223" s="1">
        <v>1</v>
      </c>
      <c r="K223" s="23">
        <v>980.68</v>
      </c>
    </row>
    <row r="224" spans="1:11" x14ac:dyDescent="0.3">
      <c r="A224" s="1">
        <v>10223</v>
      </c>
      <c r="B224" s="3">
        <v>44784</v>
      </c>
      <c r="C224" s="3" t="str">
        <f>TEXT(Table1[[#This Row],[order_date]],"mmmm")</f>
        <v>August</v>
      </c>
      <c r="D224" s="1" t="s">
        <v>10</v>
      </c>
      <c r="E224" s="1" t="s">
        <v>15</v>
      </c>
      <c r="F224" s="1">
        <v>3</v>
      </c>
      <c r="G224" s="1">
        <v>53.9</v>
      </c>
      <c r="H224" s="2">
        <v>0.31</v>
      </c>
      <c r="I224" s="1" t="s">
        <v>12</v>
      </c>
      <c r="J224" s="1">
        <v>3.8</v>
      </c>
      <c r="K224" s="23">
        <v>111.57</v>
      </c>
    </row>
    <row r="225" spans="1:11" x14ac:dyDescent="0.3">
      <c r="A225" s="1">
        <v>10224</v>
      </c>
      <c r="B225" s="3">
        <v>44785</v>
      </c>
      <c r="C225" s="3" t="str">
        <f>TEXT(Table1[[#This Row],[order_date]],"mmmm")</f>
        <v>August</v>
      </c>
      <c r="D225" s="1" t="s">
        <v>13</v>
      </c>
      <c r="E225" s="1" t="s">
        <v>15</v>
      </c>
      <c r="F225" s="1">
        <v>3</v>
      </c>
      <c r="G225" s="1">
        <v>572.53</v>
      </c>
      <c r="H225" s="2">
        <v>0.12</v>
      </c>
      <c r="I225" s="1" t="s">
        <v>14</v>
      </c>
      <c r="J225" s="1">
        <v>2</v>
      </c>
      <c r="K225" s="23">
        <v>1511.48</v>
      </c>
    </row>
    <row r="226" spans="1:11" x14ac:dyDescent="0.3">
      <c r="A226" s="1">
        <v>10225</v>
      </c>
      <c r="B226" s="3">
        <v>44786</v>
      </c>
      <c r="C226" s="3" t="str">
        <f>TEXT(Table1[[#This Row],[order_date]],"mmmm")</f>
        <v>August</v>
      </c>
      <c r="D226" s="1" t="s">
        <v>17</v>
      </c>
      <c r="E226" s="1" t="s">
        <v>15</v>
      </c>
      <c r="F226" s="1">
        <v>3</v>
      </c>
      <c r="G226" s="1">
        <v>179.87</v>
      </c>
      <c r="H226" s="2">
        <v>0.11</v>
      </c>
      <c r="I226" s="1" t="s">
        <v>14</v>
      </c>
      <c r="J226" s="1">
        <v>1.2</v>
      </c>
      <c r="K226" s="23">
        <v>480.25</v>
      </c>
    </row>
    <row r="227" spans="1:11" x14ac:dyDescent="0.3">
      <c r="A227" s="1">
        <v>10226</v>
      </c>
      <c r="B227" s="3">
        <v>44787</v>
      </c>
      <c r="C227" s="3" t="str">
        <f>TEXT(Table1[[#This Row],[order_date]],"mmmm")</f>
        <v>August</v>
      </c>
      <c r="D227" s="1" t="s">
        <v>13</v>
      </c>
      <c r="E227" s="1" t="s">
        <v>18</v>
      </c>
      <c r="F227" s="1">
        <v>4</v>
      </c>
      <c r="G227" s="1">
        <v>238.49</v>
      </c>
      <c r="H227" s="2">
        <v>0.25</v>
      </c>
      <c r="I227" s="1" t="s">
        <v>16</v>
      </c>
      <c r="J227" s="1">
        <v>3.8</v>
      </c>
      <c r="K227" s="23">
        <v>715.47</v>
      </c>
    </row>
    <row r="228" spans="1:11" x14ac:dyDescent="0.3">
      <c r="A228" s="1">
        <v>10227</v>
      </c>
      <c r="B228" s="3">
        <v>44788</v>
      </c>
      <c r="C228" s="3" t="str">
        <f>TEXT(Table1[[#This Row],[order_date]],"mmmm")</f>
        <v>August</v>
      </c>
      <c r="D228" s="1" t="s">
        <v>13</v>
      </c>
      <c r="E228" s="1" t="s">
        <v>15</v>
      </c>
      <c r="F228" s="1">
        <v>3</v>
      </c>
      <c r="G228" s="1">
        <v>68.61</v>
      </c>
      <c r="H228" s="2">
        <v>0.11</v>
      </c>
      <c r="I228" s="1" t="s">
        <v>12</v>
      </c>
      <c r="J228" s="1">
        <v>4</v>
      </c>
      <c r="K228" s="23">
        <v>183.19</v>
      </c>
    </row>
    <row r="229" spans="1:11" x14ac:dyDescent="0.3">
      <c r="A229" s="1">
        <v>10228</v>
      </c>
      <c r="B229" s="3">
        <v>44789</v>
      </c>
      <c r="C229" s="3" t="str">
        <f>TEXT(Table1[[#This Row],[order_date]],"mmmm")</f>
        <v>August</v>
      </c>
      <c r="D229" s="1" t="s">
        <v>17</v>
      </c>
      <c r="E229" s="1" t="s">
        <v>15</v>
      </c>
      <c r="F229" s="1">
        <v>2</v>
      </c>
      <c r="G229" s="1">
        <v>80.680000000000007</v>
      </c>
      <c r="H229" s="2">
        <v>0.02</v>
      </c>
      <c r="I229" s="1" t="s">
        <v>12</v>
      </c>
      <c r="J229" s="1">
        <v>3.6</v>
      </c>
      <c r="K229" s="23">
        <v>158.13</v>
      </c>
    </row>
    <row r="230" spans="1:11" x14ac:dyDescent="0.3">
      <c r="A230" s="1">
        <v>10229</v>
      </c>
      <c r="B230" s="3">
        <v>44790</v>
      </c>
      <c r="C230" s="3" t="str">
        <f>TEXT(Table1[[#This Row],[order_date]],"mmmm")</f>
        <v>August</v>
      </c>
      <c r="D230" s="1" t="s">
        <v>13</v>
      </c>
      <c r="E230" s="1" t="s">
        <v>18</v>
      </c>
      <c r="F230" s="1">
        <v>5</v>
      </c>
      <c r="G230" s="1">
        <v>440.14</v>
      </c>
      <c r="H230" s="2">
        <v>0.13</v>
      </c>
      <c r="I230" s="1" t="s">
        <v>16</v>
      </c>
      <c r="J230" s="1">
        <v>2.5</v>
      </c>
      <c r="K230" s="23">
        <v>1914.61</v>
      </c>
    </row>
    <row r="231" spans="1:11" x14ac:dyDescent="0.3">
      <c r="A231" s="1">
        <v>10230</v>
      </c>
      <c r="B231" s="3">
        <v>44791</v>
      </c>
      <c r="C231" s="3" t="str">
        <f>TEXT(Table1[[#This Row],[order_date]],"mmmm")</f>
        <v>August</v>
      </c>
      <c r="D231" s="1" t="s">
        <v>10</v>
      </c>
      <c r="E231" s="1" t="s">
        <v>15</v>
      </c>
      <c r="F231" s="1">
        <v>4</v>
      </c>
      <c r="G231" s="1">
        <v>567.42999999999995</v>
      </c>
      <c r="H231" s="2">
        <v>0.25</v>
      </c>
      <c r="I231" s="1" t="s">
        <v>14</v>
      </c>
      <c r="J231" s="1">
        <v>3</v>
      </c>
      <c r="K231" s="23">
        <v>1702.29</v>
      </c>
    </row>
    <row r="232" spans="1:11" x14ac:dyDescent="0.3">
      <c r="A232" s="1">
        <v>10231</v>
      </c>
      <c r="B232" s="3">
        <v>44792</v>
      </c>
      <c r="C232" s="3" t="str">
        <f>TEXT(Table1[[#This Row],[order_date]],"mmmm")</f>
        <v>August</v>
      </c>
      <c r="D232" s="1" t="s">
        <v>17</v>
      </c>
      <c r="E232" s="1" t="s">
        <v>19</v>
      </c>
      <c r="F232" s="1">
        <v>1</v>
      </c>
      <c r="G232" s="1">
        <v>372.29</v>
      </c>
      <c r="H232" s="2">
        <v>0.11</v>
      </c>
      <c r="I232" s="1" t="s">
        <v>14</v>
      </c>
      <c r="J232" s="1">
        <v>4.7</v>
      </c>
      <c r="K232" s="23">
        <v>331.34</v>
      </c>
    </row>
    <row r="233" spans="1:11" x14ac:dyDescent="0.3">
      <c r="A233" s="1">
        <v>10232</v>
      </c>
      <c r="B233" s="3">
        <v>44793</v>
      </c>
      <c r="C233" s="3" t="str">
        <f>TEXT(Table1[[#This Row],[order_date]],"mmmm")</f>
        <v>August</v>
      </c>
      <c r="D233" s="1" t="s">
        <v>20</v>
      </c>
      <c r="E233" s="1" t="s">
        <v>11</v>
      </c>
      <c r="F233" s="1">
        <v>3</v>
      </c>
      <c r="G233" s="1">
        <v>433.77</v>
      </c>
      <c r="H233" s="2">
        <v>0.22</v>
      </c>
      <c r="I233" s="1" t="s">
        <v>12</v>
      </c>
      <c r="J233" s="1">
        <v>3.9</v>
      </c>
      <c r="K233" s="23">
        <v>1015.02</v>
      </c>
    </row>
    <row r="234" spans="1:11" x14ac:dyDescent="0.3">
      <c r="A234" s="1">
        <v>10233</v>
      </c>
      <c r="B234" s="3">
        <v>44794</v>
      </c>
      <c r="C234" s="3" t="str">
        <f>TEXT(Table1[[#This Row],[order_date]],"mmmm")</f>
        <v>August</v>
      </c>
      <c r="D234" s="1" t="s">
        <v>10</v>
      </c>
      <c r="E234" s="1" t="s">
        <v>15</v>
      </c>
      <c r="F234" s="1">
        <v>7</v>
      </c>
      <c r="G234" s="1">
        <v>460.75</v>
      </c>
      <c r="H234" s="2">
        <v>0.23</v>
      </c>
      <c r="I234" s="1" t="s">
        <v>16</v>
      </c>
      <c r="J234" s="1">
        <v>3</v>
      </c>
      <c r="K234" s="23">
        <v>2483.44</v>
      </c>
    </row>
    <row r="235" spans="1:11" x14ac:dyDescent="0.3">
      <c r="A235" s="1">
        <v>10234</v>
      </c>
      <c r="B235" s="3">
        <v>44795</v>
      </c>
      <c r="C235" s="3" t="str">
        <f>TEXT(Table1[[#This Row],[order_date]],"mmmm")</f>
        <v>August</v>
      </c>
      <c r="D235" s="1" t="s">
        <v>10</v>
      </c>
      <c r="E235" s="1" t="s">
        <v>11</v>
      </c>
      <c r="F235" s="1">
        <v>7</v>
      </c>
      <c r="G235" s="1">
        <v>168.75</v>
      </c>
      <c r="H235" s="2">
        <v>0.26</v>
      </c>
      <c r="I235" s="1" t="s">
        <v>16</v>
      </c>
      <c r="J235" s="1">
        <v>3.4</v>
      </c>
      <c r="K235" s="23">
        <v>874.12</v>
      </c>
    </row>
    <row r="236" spans="1:11" x14ac:dyDescent="0.3">
      <c r="A236" s="1">
        <v>10235</v>
      </c>
      <c r="B236" s="3">
        <v>44796</v>
      </c>
      <c r="C236" s="3" t="str">
        <f>TEXT(Table1[[#This Row],[order_date]],"mmmm")</f>
        <v>August</v>
      </c>
      <c r="D236" s="1" t="s">
        <v>10</v>
      </c>
      <c r="E236" s="1" t="s">
        <v>15</v>
      </c>
      <c r="F236" s="1">
        <v>5</v>
      </c>
      <c r="G236" s="1">
        <v>41.46</v>
      </c>
      <c r="H236" s="2">
        <v>0.31</v>
      </c>
      <c r="I236" s="1" t="s">
        <v>14</v>
      </c>
      <c r="J236" s="1">
        <v>4.7</v>
      </c>
      <c r="K236" s="23">
        <v>143.04</v>
      </c>
    </row>
    <row r="237" spans="1:11" x14ac:dyDescent="0.3">
      <c r="A237" s="1">
        <v>10236</v>
      </c>
      <c r="B237" s="3">
        <v>44797</v>
      </c>
      <c r="C237" s="3" t="str">
        <f>TEXT(Table1[[#This Row],[order_date]],"mmmm")</f>
        <v>August</v>
      </c>
      <c r="D237" s="1" t="s">
        <v>13</v>
      </c>
      <c r="E237" s="1" t="s">
        <v>15</v>
      </c>
      <c r="F237" s="1">
        <v>5</v>
      </c>
      <c r="G237" s="1">
        <v>16.100000000000001</v>
      </c>
      <c r="H237" s="2">
        <v>0.15</v>
      </c>
      <c r="I237" s="1" t="s">
        <v>16</v>
      </c>
      <c r="J237" s="1">
        <v>2.6</v>
      </c>
      <c r="K237" s="23">
        <v>68.42</v>
      </c>
    </row>
    <row r="238" spans="1:11" x14ac:dyDescent="0.3">
      <c r="A238" s="1">
        <v>10237</v>
      </c>
      <c r="B238" s="3">
        <v>44798</v>
      </c>
      <c r="C238" s="3" t="str">
        <f>TEXT(Table1[[#This Row],[order_date]],"mmmm")</f>
        <v>August</v>
      </c>
      <c r="D238" s="1" t="s">
        <v>10</v>
      </c>
      <c r="E238" s="1" t="s">
        <v>19</v>
      </c>
      <c r="F238" s="1">
        <v>4</v>
      </c>
      <c r="G238" s="1">
        <v>220.13</v>
      </c>
      <c r="H238" s="2">
        <v>0.06</v>
      </c>
      <c r="I238" s="1" t="s">
        <v>14</v>
      </c>
      <c r="J238" s="1">
        <v>1.4</v>
      </c>
      <c r="K238" s="23">
        <v>827.69</v>
      </c>
    </row>
    <row r="239" spans="1:11" x14ac:dyDescent="0.3">
      <c r="A239" s="1">
        <v>10238</v>
      </c>
      <c r="B239" s="3">
        <v>44799</v>
      </c>
      <c r="C239" s="3" t="str">
        <f>TEXT(Table1[[#This Row],[order_date]],"mmmm")</f>
        <v>August</v>
      </c>
      <c r="D239" s="1" t="s">
        <v>20</v>
      </c>
      <c r="E239" s="1" t="s">
        <v>18</v>
      </c>
      <c r="F239" s="1">
        <v>7</v>
      </c>
      <c r="G239" s="1">
        <v>156.26</v>
      </c>
      <c r="H239" s="2">
        <v>0.11</v>
      </c>
      <c r="I239" s="1" t="s">
        <v>16</v>
      </c>
      <c r="J239" s="1">
        <v>2.2999999999999998</v>
      </c>
      <c r="K239" s="23">
        <v>973.5</v>
      </c>
    </row>
    <row r="240" spans="1:11" x14ac:dyDescent="0.3">
      <c r="A240" s="1">
        <v>10239</v>
      </c>
      <c r="B240" s="3">
        <v>44800</v>
      </c>
      <c r="C240" s="3" t="str">
        <f>TEXT(Table1[[#This Row],[order_date]],"mmmm")</f>
        <v>August</v>
      </c>
      <c r="D240" s="1" t="s">
        <v>17</v>
      </c>
      <c r="E240" s="1" t="s">
        <v>11</v>
      </c>
      <c r="F240" s="1">
        <v>1</v>
      </c>
      <c r="G240" s="1">
        <v>51.46</v>
      </c>
      <c r="H240" s="2">
        <v>0.15</v>
      </c>
      <c r="I240" s="1" t="s">
        <v>12</v>
      </c>
      <c r="J240" s="1">
        <v>2.7</v>
      </c>
      <c r="K240" s="23">
        <v>43.74</v>
      </c>
    </row>
    <row r="241" spans="1:11" x14ac:dyDescent="0.3">
      <c r="A241" s="1">
        <v>10240</v>
      </c>
      <c r="B241" s="3">
        <v>44801</v>
      </c>
      <c r="C241" s="3" t="str">
        <f>TEXT(Table1[[#This Row],[order_date]],"mmmm")</f>
        <v>August</v>
      </c>
      <c r="D241" s="1" t="s">
        <v>13</v>
      </c>
      <c r="E241" s="1" t="s">
        <v>18</v>
      </c>
      <c r="F241" s="1">
        <v>6</v>
      </c>
      <c r="G241" s="1">
        <v>120.02</v>
      </c>
      <c r="H241" s="2">
        <v>0.25</v>
      </c>
      <c r="I241" s="1" t="s">
        <v>16</v>
      </c>
      <c r="J241" s="1">
        <v>2.1</v>
      </c>
      <c r="K241" s="23">
        <v>540.09</v>
      </c>
    </row>
    <row r="242" spans="1:11" x14ac:dyDescent="0.3">
      <c r="A242" s="1">
        <v>10241</v>
      </c>
      <c r="B242" s="3">
        <v>44802</v>
      </c>
      <c r="C242" s="3" t="str">
        <f>TEXT(Table1[[#This Row],[order_date]],"mmmm")</f>
        <v>August</v>
      </c>
      <c r="D242" s="1" t="s">
        <v>20</v>
      </c>
      <c r="E242" s="1" t="s">
        <v>19</v>
      </c>
      <c r="F242" s="1">
        <v>7</v>
      </c>
      <c r="G242" s="1">
        <v>87.83</v>
      </c>
      <c r="H242" s="2">
        <v>0</v>
      </c>
      <c r="I242" s="1" t="s">
        <v>16</v>
      </c>
      <c r="J242" s="1">
        <v>3.1</v>
      </c>
      <c r="K242" s="23">
        <v>614.80999999999995</v>
      </c>
    </row>
    <row r="243" spans="1:11" x14ac:dyDescent="0.3">
      <c r="A243" s="1">
        <v>10242</v>
      </c>
      <c r="B243" s="3">
        <v>44803</v>
      </c>
      <c r="C243" s="3" t="str">
        <f>TEXT(Table1[[#This Row],[order_date]],"mmmm")</f>
        <v>August</v>
      </c>
      <c r="D243" s="1" t="s">
        <v>17</v>
      </c>
      <c r="E243" s="1" t="s">
        <v>19</v>
      </c>
      <c r="F243" s="1">
        <v>7</v>
      </c>
      <c r="G243" s="1">
        <v>550.20000000000005</v>
      </c>
      <c r="H243" s="2">
        <v>0.11</v>
      </c>
      <c r="I243" s="1" t="s">
        <v>14</v>
      </c>
      <c r="J243" s="1">
        <v>2.2000000000000002</v>
      </c>
      <c r="K243" s="23">
        <v>3427.75</v>
      </c>
    </row>
    <row r="244" spans="1:11" x14ac:dyDescent="0.3">
      <c r="A244" s="1">
        <v>10243</v>
      </c>
      <c r="B244" s="3">
        <v>44804</v>
      </c>
      <c r="C244" s="3" t="str">
        <f>TEXT(Table1[[#This Row],[order_date]],"mmmm")</f>
        <v>August</v>
      </c>
      <c r="D244" s="1" t="s">
        <v>13</v>
      </c>
      <c r="E244" s="1" t="s">
        <v>11</v>
      </c>
      <c r="F244" s="1">
        <v>2</v>
      </c>
      <c r="G244" s="1">
        <v>97.06</v>
      </c>
      <c r="H244" s="2">
        <v>0.27</v>
      </c>
      <c r="I244" s="1" t="s">
        <v>14</v>
      </c>
      <c r="J244" s="1">
        <v>1.4</v>
      </c>
      <c r="K244" s="23">
        <v>141.71</v>
      </c>
    </row>
    <row r="245" spans="1:11" x14ac:dyDescent="0.3">
      <c r="A245" s="1">
        <v>10244</v>
      </c>
      <c r="B245" s="3">
        <v>44805</v>
      </c>
      <c r="C245" s="3" t="str">
        <f>TEXT(Table1[[#This Row],[order_date]],"mmmm")</f>
        <v>September</v>
      </c>
      <c r="D245" s="1" t="s">
        <v>20</v>
      </c>
      <c r="E245" s="1" t="s">
        <v>18</v>
      </c>
      <c r="F245" s="1">
        <v>6</v>
      </c>
      <c r="G245" s="1">
        <v>329.52</v>
      </c>
      <c r="H245" s="2">
        <v>0.23</v>
      </c>
      <c r="I245" s="1" t="s">
        <v>12</v>
      </c>
      <c r="J245" s="1">
        <v>1.8</v>
      </c>
      <c r="K245" s="23">
        <v>1522.38</v>
      </c>
    </row>
    <row r="246" spans="1:11" x14ac:dyDescent="0.3">
      <c r="A246" s="1">
        <v>10245</v>
      </c>
      <c r="B246" s="3">
        <v>44806</v>
      </c>
      <c r="C246" s="3" t="str">
        <f>TEXT(Table1[[#This Row],[order_date]],"mmmm")</f>
        <v>September</v>
      </c>
      <c r="D246" s="1" t="s">
        <v>17</v>
      </c>
      <c r="E246" s="1" t="s">
        <v>19</v>
      </c>
      <c r="F246" s="1">
        <v>5</v>
      </c>
      <c r="G246" s="1">
        <v>361.97</v>
      </c>
      <c r="H246" s="2">
        <v>0.26</v>
      </c>
      <c r="I246" s="1" t="s">
        <v>14</v>
      </c>
      <c r="J246" s="1">
        <v>4.7</v>
      </c>
      <c r="K246" s="23">
        <v>1339.29</v>
      </c>
    </row>
    <row r="247" spans="1:11" x14ac:dyDescent="0.3">
      <c r="A247" s="1">
        <v>10246</v>
      </c>
      <c r="B247" s="3">
        <v>44807</v>
      </c>
      <c r="C247" s="3" t="str">
        <f>TEXT(Table1[[#This Row],[order_date]],"mmmm")</f>
        <v>September</v>
      </c>
      <c r="D247" s="1" t="s">
        <v>13</v>
      </c>
      <c r="E247" s="1" t="s">
        <v>15</v>
      </c>
      <c r="F247" s="1">
        <v>6</v>
      </c>
      <c r="G247" s="1">
        <v>332.94</v>
      </c>
      <c r="H247" s="2">
        <v>0.28000000000000003</v>
      </c>
      <c r="I247" s="1" t="s">
        <v>12</v>
      </c>
      <c r="J247" s="1">
        <v>3.5</v>
      </c>
      <c r="K247" s="23">
        <v>1438.3</v>
      </c>
    </row>
    <row r="248" spans="1:11" x14ac:dyDescent="0.3">
      <c r="A248" s="1">
        <v>10247</v>
      </c>
      <c r="B248" s="3">
        <v>44808</v>
      </c>
      <c r="C248" s="3" t="str">
        <f>TEXT(Table1[[#This Row],[order_date]],"mmmm")</f>
        <v>September</v>
      </c>
      <c r="D248" s="1" t="s">
        <v>20</v>
      </c>
      <c r="E248" s="1" t="s">
        <v>15</v>
      </c>
      <c r="F248" s="1">
        <v>7</v>
      </c>
      <c r="G248" s="1">
        <v>72.95</v>
      </c>
      <c r="H248" s="2">
        <v>0.27</v>
      </c>
      <c r="I248" s="1" t="s">
        <v>16</v>
      </c>
      <c r="J248" s="1">
        <v>2.2999999999999998</v>
      </c>
      <c r="K248" s="23">
        <v>372.77</v>
      </c>
    </row>
    <row r="249" spans="1:11" x14ac:dyDescent="0.3">
      <c r="A249" s="1">
        <v>10248</v>
      </c>
      <c r="B249" s="3">
        <v>44809</v>
      </c>
      <c r="C249" s="3" t="str">
        <f>TEXT(Table1[[#This Row],[order_date]],"mmmm")</f>
        <v>September</v>
      </c>
      <c r="D249" s="1" t="s">
        <v>13</v>
      </c>
      <c r="E249" s="1" t="s">
        <v>15</v>
      </c>
      <c r="F249" s="1">
        <v>5</v>
      </c>
      <c r="G249" s="1">
        <v>201.5</v>
      </c>
      <c r="H249" s="2">
        <v>0.24</v>
      </c>
      <c r="I249" s="1" t="s">
        <v>16</v>
      </c>
      <c r="J249" s="1">
        <v>2.5</v>
      </c>
      <c r="K249" s="23">
        <v>765.7</v>
      </c>
    </row>
    <row r="250" spans="1:11" x14ac:dyDescent="0.3">
      <c r="A250" s="1">
        <v>10249</v>
      </c>
      <c r="B250" s="3">
        <v>44810</v>
      </c>
      <c r="C250" s="3" t="str">
        <f>TEXT(Table1[[#This Row],[order_date]],"mmmm")</f>
        <v>September</v>
      </c>
      <c r="D250" s="1" t="s">
        <v>17</v>
      </c>
      <c r="E250" s="1" t="s">
        <v>18</v>
      </c>
      <c r="F250" s="1">
        <v>6</v>
      </c>
      <c r="G250" s="1">
        <v>44.99</v>
      </c>
      <c r="H250" s="2">
        <v>0.15</v>
      </c>
      <c r="I250" s="1" t="s">
        <v>12</v>
      </c>
      <c r="J250" s="1">
        <v>3</v>
      </c>
      <c r="K250" s="23">
        <v>229.45</v>
      </c>
    </row>
    <row r="251" spans="1:11" x14ac:dyDescent="0.3">
      <c r="A251" s="1">
        <v>10250</v>
      </c>
      <c r="B251" s="3">
        <v>44811</v>
      </c>
      <c r="C251" s="3" t="str">
        <f>TEXT(Table1[[#This Row],[order_date]],"mmmm")</f>
        <v>September</v>
      </c>
      <c r="D251" s="1" t="s">
        <v>17</v>
      </c>
      <c r="E251" s="1" t="s">
        <v>15</v>
      </c>
      <c r="F251" s="1">
        <v>5</v>
      </c>
      <c r="G251" s="1">
        <v>246.47</v>
      </c>
      <c r="H251" s="2">
        <v>0.34</v>
      </c>
      <c r="I251" s="1" t="s">
        <v>16</v>
      </c>
      <c r="J251" s="1">
        <v>3.7</v>
      </c>
      <c r="K251" s="23">
        <v>813.35</v>
      </c>
    </row>
    <row r="252" spans="1:11" x14ac:dyDescent="0.3">
      <c r="A252" s="1">
        <v>10251</v>
      </c>
      <c r="B252" s="3">
        <v>44812</v>
      </c>
      <c r="C252" s="3" t="str">
        <f>TEXT(Table1[[#This Row],[order_date]],"mmmm")</f>
        <v>September</v>
      </c>
      <c r="D252" s="1" t="s">
        <v>13</v>
      </c>
      <c r="E252" s="1" t="s">
        <v>15</v>
      </c>
      <c r="F252" s="1">
        <v>5</v>
      </c>
      <c r="G252" s="1">
        <v>125.33</v>
      </c>
      <c r="H252" s="2">
        <v>0.2</v>
      </c>
      <c r="I252" s="1" t="s">
        <v>12</v>
      </c>
      <c r="J252" s="1">
        <v>3.3</v>
      </c>
      <c r="K252" s="23">
        <v>501.32</v>
      </c>
    </row>
    <row r="253" spans="1:11" x14ac:dyDescent="0.3">
      <c r="A253" s="1">
        <v>10252</v>
      </c>
      <c r="B253" s="3">
        <v>44813</v>
      </c>
      <c r="C253" s="3" t="str">
        <f>TEXT(Table1[[#This Row],[order_date]],"mmmm")</f>
        <v>September</v>
      </c>
      <c r="D253" s="1" t="s">
        <v>10</v>
      </c>
      <c r="E253" s="1" t="s">
        <v>19</v>
      </c>
      <c r="F253" s="1">
        <v>4</v>
      </c>
      <c r="G253" s="1">
        <v>343.56</v>
      </c>
      <c r="H253" s="2">
        <v>7.0000000000000007E-2</v>
      </c>
      <c r="I253" s="1" t="s">
        <v>14</v>
      </c>
      <c r="J253" s="1">
        <v>4.7</v>
      </c>
      <c r="K253" s="23">
        <v>1278.04</v>
      </c>
    </row>
    <row r="254" spans="1:11" x14ac:dyDescent="0.3">
      <c r="A254" s="1">
        <v>10253</v>
      </c>
      <c r="B254" s="3">
        <v>44814</v>
      </c>
      <c r="C254" s="3" t="str">
        <f>TEXT(Table1[[#This Row],[order_date]],"mmmm")</f>
        <v>September</v>
      </c>
      <c r="D254" s="1" t="s">
        <v>17</v>
      </c>
      <c r="E254" s="1" t="s">
        <v>19</v>
      </c>
      <c r="F254" s="1">
        <v>1</v>
      </c>
      <c r="G254" s="1">
        <v>420.29</v>
      </c>
      <c r="H254" s="2">
        <v>0.1</v>
      </c>
      <c r="I254" s="1" t="s">
        <v>16</v>
      </c>
      <c r="J254" s="1">
        <v>3.5</v>
      </c>
      <c r="K254" s="23">
        <v>378.26</v>
      </c>
    </row>
    <row r="255" spans="1:11" x14ac:dyDescent="0.3">
      <c r="A255" s="1">
        <v>10254</v>
      </c>
      <c r="B255" s="3">
        <v>44815</v>
      </c>
      <c r="C255" s="3" t="str">
        <f>TEXT(Table1[[#This Row],[order_date]],"mmmm")</f>
        <v>September</v>
      </c>
      <c r="D255" s="1" t="s">
        <v>13</v>
      </c>
      <c r="E255" s="1" t="s">
        <v>15</v>
      </c>
      <c r="F255" s="1">
        <v>5</v>
      </c>
      <c r="G255" s="1">
        <v>326.29000000000002</v>
      </c>
      <c r="H255" s="2">
        <v>0.24</v>
      </c>
      <c r="I255" s="1" t="s">
        <v>16</v>
      </c>
      <c r="J255" s="1">
        <v>4.5999999999999996</v>
      </c>
      <c r="K255" s="23">
        <v>1239.9000000000001</v>
      </c>
    </row>
    <row r="256" spans="1:11" x14ac:dyDescent="0.3">
      <c r="A256" s="1">
        <v>10255</v>
      </c>
      <c r="B256" s="3">
        <v>44816</v>
      </c>
      <c r="C256" s="3" t="str">
        <f>TEXT(Table1[[#This Row],[order_date]],"mmmm")</f>
        <v>September</v>
      </c>
      <c r="D256" s="1" t="s">
        <v>17</v>
      </c>
      <c r="E256" s="1" t="s">
        <v>15</v>
      </c>
      <c r="F256" s="1">
        <v>2</v>
      </c>
      <c r="G256" s="1">
        <v>269.02999999999997</v>
      </c>
      <c r="H256" s="2">
        <v>0.32</v>
      </c>
      <c r="I256" s="1" t="s">
        <v>14</v>
      </c>
      <c r="J256" s="1">
        <v>1</v>
      </c>
      <c r="K256" s="23">
        <v>365.88</v>
      </c>
    </row>
    <row r="257" spans="1:11" x14ac:dyDescent="0.3">
      <c r="A257" s="1">
        <v>10256</v>
      </c>
      <c r="B257" s="3">
        <v>44817</v>
      </c>
      <c r="C257" s="3" t="str">
        <f>TEXT(Table1[[#This Row],[order_date]],"mmmm")</f>
        <v>September</v>
      </c>
      <c r="D257" s="1" t="s">
        <v>17</v>
      </c>
      <c r="E257" s="1" t="s">
        <v>19</v>
      </c>
      <c r="F257" s="1">
        <v>7</v>
      </c>
      <c r="G257" s="1">
        <v>241.59</v>
      </c>
      <c r="H257" s="2">
        <v>0.06</v>
      </c>
      <c r="I257" s="1" t="s">
        <v>16</v>
      </c>
      <c r="J257" s="1">
        <v>4.5999999999999996</v>
      </c>
      <c r="K257" s="23">
        <v>1589.66</v>
      </c>
    </row>
    <row r="258" spans="1:11" x14ac:dyDescent="0.3">
      <c r="A258" s="1">
        <v>10257</v>
      </c>
      <c r="B258" s="3">
        <v>44818</v>
      </c>
      <c r="C258" s="3" t="str">
        <f>TEXT(Table1[[#This Row],[order_date]],"mmmm")</f>
        <v>September</v>
      </c>
      <c r="D258" s="1" t="s">
        <v>20</v>
      </c>
      <c r="E258" s="1" t="s">
        <v>11</v>
      </c>
      <c r="F258" s="1">
        <v>7</v>
      </c>
      <c r="G258" s="1">
        <v>507.39</v>
      </c>
      <c r="H258" s="2">
        <v>0.03</v>
      </c>
      <c r="I258" s="1" t="s">
        <v>16</v>
      </c>
      <c r="J258" s="1">
        <v>3.9</v>
      </c>
      <c r="K258" s="23">
        <v>3445.18</v>
      </c>
    </row>
    <row r="259" spans="1:11" x14ac:dyDescent="0.3">
      <c r="A259" s="1">
        <v>10258</v>
      </c>
      <c r="B259" s="3">
        <v>44819</v>
      </c>
      <c r="C259" s="3" t="str">
        <f>TEXT(Table1[[#This Row],[order_date]],"mmmm")</f>
        <v>September</v>
      </c>
      <c r="D259" s="1" t="s">
        <v>20</v>
      </c>
      <c r="E259" s="1" t="s">
        <v>18</v>
      </c>
      <c r="F259" s="1">
        <v>2</v>
      </c>
      <c r="G259" s="1">
        <v>143.33000000000001</v>
      </c>
      <c r="H259" s="2">
        <v>0.31</v>
      </c>
      <c r="I259" s="1" t="s">
        <v>12</v>
      </c>
      <c r="J259" s="1">
        <v>1.7</v>
      </c>
      <c r="K259" s="23">
        <v>197.8</v>
      </c>
    </row>
    <row r="260" spans="1:11" x14ac:dyDescent="0.3">
      <c r="A260" s="1">
        <v>10259</v>
      </c>
      <c r="B260" s="3">
        <v>44820</v>
      </c>
      <c r="C260" s="3" t="str">
        <f>TEXT(Table1[[#This Row],[order_date]],"mmmm")</f>
        <v>September</v>
      </c>
      <c r="D260" s="1" t="s">
        <v>17</v>
      </c>
      <c r="E260" s="1" t="s">
        <v>18</v>
      </c>
      <c r="F260" s="1">
        <v>3</v>
      </c>
      <c r="G260" s="1">
        <v>444.52</v>
      </c>
      <c r="H260" s="2">
        <v>0.32</v>
      </c>
      <c r="I260" s="1" t="s">
        <v>14</v>
      </c>
      <c r="J260" s="1">
        <v>2.1</v>
      </c>
      <c r="K260" s="23">
        <v>906.82</v>
      </c>
    </row>
    <row r="261" spans="1:11" x14ac:dyDescent="0.3">
      <c r="A261" s="1">
        <v>10260</v>
      </c>
      <c r="B261" s="3">
        <v>44821</v>
      </c>
      <c r="C261" s="3" t="str">
        <f>TEXT(Table1[[#This Row],[order_date]],"mmmm")</f>
        <v>September</v>
      </c>
      <c r="D261" s="1" t="s">
        <v>13</v>
      </c>
      <c r="E261" s="1" t="s">
        <v>19</v>
      </c>
      <c r="F261" s="1">
        <v>5</v>
      </c>
      <c r="G261" s="1">
        <v>458.13</v>
      </c>
      <c r="H261" s="2">
        <v>0.1</v>
      </c>
      <c r="I261" s="1" t="s">
        <v>16</v>
      </c>
      <c r="J261" s="1">
        <v>3.2</v>
      </c>
      <c r="K261" s="23">
        <v>2061.58</v>
      </c>
    </row>
    <row r="262" spans="1:11" x14ac:dyDescent="0.3">
      <c r="A262" s="1">
        <v>10261</v>
      </c>
      <c r="B262" s="3">
        <v>44822</v>
      </c>
      <c r="C262" s="3" t="str">
        <f>TEXT(Table1[[#This Row],[order_date]],"mmmm")</f>
        <v>September</v>
      </c>
      <c r="D262" s="1" t="s">
        <v>17</v>
      </c>
      <c r="E262" s="1" t="s">
        <v>18</v>
      </c>
      <c r="F262" s="1">
        <v>5</v>
      </c>
      <c r="G262" s="1">
        <v>260.23</v>
      </c>
      <c r="H262" s="2">
        <v>0.13</v>
      </c>
      <c r="I262" s="1" t="s">
        <v>14</v>
      </c>
      <c r="J262" s="1">
        <v>1.5</v>
      </c>
      <c r="K262" s="23">
        <v>1132</v>
      </c>
    </row>
    <row r="263" spans="1:11" x14ac:dyDescent="0.3">
      <c r="A263" s="1">
        <v>10262</v>
      </c>
      <c r="B263" s="3">
        <v>44823</v>
      </c>
      <c r="C263" s="3" t="str">
        <f>TEXT(Table1[[#This Row],[order_date]],"mmmm")</f>
        <v>September</v>
      </c>
      <c r="D263" s="1" t="s">
        <v>13</v>
      </c>
      <c r="E263" s="1" t="s">
        <v>19</v>
      </c>
      <c r="F263" s="1">
        <v>5</v>
      </c>
      <c r="G263" s="1">
        <v>188.92</v>
      </c>
      <c r="H263" s="2">
        <v>0.23</v>
      </c>
      <c r="I263" s="1" t="s">
        <v>16</v>
      </c>
      <c r="J263" s="1">
        <v>4.0999999999999996</v>
      </c>
      <c r="K263" s="23">
        <v>727.34</v>
      </c>
    </row>
    <row r="264" spans="1:11" x14ac:dyDescent="0.3">
      <c r="A264" s="1">
        <v>10263</v>
      </c>
      <c r="B264" s="3">
        <v>44824</v>
      </c>
      <c r="C264" s="3" t="str">
        <f>TEXT(Table1[[#This Row],[order_date]],"mmmm")</f>
        <v>September</v>
      </c>
      <c r="D264" s="1" t="s">
        <v>20</v>
      </c>
      <c r="E264" s="1" t="s">
        <v>19</v>
      </c>
      <c r="F264" s="1">
        <v>6</v>
      </c>
      <c r="G264" s="1">
        <v>290.27</v>
      </c>
      <c r="H264" s="2">
        <v>0.12</v>
      </c>
      <c r="I264" s="1" t="s">
        <v>16</v>
      </c>
      <c r="J264" s="1">
        <v>4.2</v>
      </c>
      <c r="K264" s="23">
        <v>1532.63</v>
      </c>
    </row>
    <row r="265" spans="1:11" x14ac:dyDescent="0.3">
      <c r="A265" s="1">
        <v>10264</v>
      </c>
      <c r="B265" s="3">
        <v>44825</v>
      </c>
      <c r="C265" s="3" t="str">
        <f>TEXT(Table1[[#This Row],[order_date]],"mmmm")</f>
        <v>September</v>
      </c>
      <c r="D265" s="1" t="s">
        <v>17</v>
      </c>
      <c r="E265" s="1" t="s">
        <v>19</v>
      </c>
      <c r="F265" s="1">
        <v>5</v>
      </c>
      <c r="G265" s="1">
        <v>69.53</v>
      </c>
      <c r="H265" s="2">
        <v>0.31</v>
      </c>
      <c r="I265" s="1" t="s">
        <v>16</v>
      </c>
      <c r="J265" s="1">
        <v>2.2000000000000002</v>
      </c>
      <c r="K265" s="23">
        <v>239.88</v>
      </c>
    </row>
    <row r="266" spans="1:11" x14ac:dyDescent="0.3">
      <c r="A266" s="1">
        <v>10265</v>
      </c>
      <c r="B266" s="3">
        <v>44826</v>
      </c>
      <c r="C266" s="3" t="str">
        <f>TEXT(Table1[[#This Row],[order_date]],"mmmm")</f>
        <v>September</v>
      </c>
      <c r="D266" s="1" t="s">
        <v>17</v>
      </c>
      <c r="E266" s="1" t="s">
        <v>19</v>
      </c>
      <c r="F266" s="1">
        <v>5</v>
      </c>
      <c r="G266" s="1">
        <v>41.87</v>
      </c>
      <c r="H266" s="2">
        <v>0.04</v>
      </c>
      <c r="I266" s="1" t="s">
        <v>14</v>
      </c>
      <c r="J266" s="1">
        <v>1.3</v>
      </c>
      <c r="K266" s="23">
        <v>200.98</v>
      </c>
    </row>
    <row r="267" spans="1:11" x14ac:dyDescent="0.3">
      <c r="A267" s="1">
        <v>10266</v>
      </c>
      <c r="B267" s="3">
        <v>44827</v>
      </c>
      <c r="C267" s="3" t="str">
        <f>TEXT(Table1[[#This Row],[order_date]],"mmmm")</f>
        <v>September</v>
      </c>
      <c r="D267" s="1" t="s">
        <v>13</v>
      </c>
      <c r="E267" s="1" t="s">
        <v>11</v>
      </c>
      <c r="F267" s="1">
        <v>2</v>
      </c>
      <c r="G267" s="1">
        <v>80.290000000000006</v>
      </c>
      <c r="H267" s="2">
        <v>0.01</v>
      </c>
      <c r="I267" s="1" t="s">
        <v>14</v>
      </c>
      <c r="J267" s="1">
        <v>5</v>
      </c>
      <c r="K267" s="23">
        <v>158.97</v>
      </c>
    </row>
    <row r="268" spans="1:11" x14ac:dyDescent="0.3">
      <c r="A268" s="1">
        <v>10267</v>
      </c>
      <c r="B268" s="3">
        <v>44828</v>
      </c>
      <c r="C268" s="3" t="str">
        <f>TEXT(Table1[[#This Row],[order_date]],"mmmm")</f>
        <v>September</v>
      </c>
      <c r="D268" s="1" t="s">
        <v>10</v>
      </c>
      <c r="E268" s="1" t="s">
        <v>15</v>
      </c>
      <c r="F268" s="1">
        <v>1</v>
      </c>
      <c r="G268" s="1">
        <v>124.48</v>
      </c>
      <c r="H268" s="2">
        <v>7.0000000000000007E-2</v>
      </c>
      <c r="I268" s="1" t="s">
        <v>14</v>
      </c>
      <c r="J268" s="1">
        <v>2</v>
      </c>
      <c r="K268" s="23">
        <v>115.77</v>
      </c>
    </row>
    <row r="269" spans="1:11" x14ac:dyDescent="0.3">
      <c r="A269" s="1">
        <v>10268</v>
      </c>
      <c r="B269" s="3">
        <v>44829</v>
      </c>
      <c r="C269" s="3" t="str">
        <f>TEXT(Table1[[#This Row],[order_date]],"mmmm")</f>
        <v>September</v>
      </c>
      <c r="D269" s="1" t="s">
        <v>10</v>
      </c>
      <c r="E269" s="1" t="s">
        <v>15</v>
      </c>
      <c r="F269" s="1">
        <v>1</v>
      </c>
      <c r="G269" s="1">
        <v>309.94</v>
      </c>
      <c r="H269" s="2">
        <v>0.1</v>
      </c>
      <c r="I269" s="1" t="s">
        <v>14</v>
      </c>
      <c r="J269" s="1">
        <v>1.3</v>
      </c>
      <c r="K269" s="23">
        <v>278.95</v>
      </c>
    </row>
    <row r="270" spans="1:11" x14ac:dyDescent="0.3">
      <c r="A270" s="1">
        <v>10269</v>
      </c>
      <c r="B270" s="3">
        <v>44830</v>
      </c>
      <c r="C270" s="3" t="str">
        <f>TEXT(Table1[[#This Row],[order_date]],"mmmm")</f>
        <v>September</v>
      </c>
      <c r="D270" s="1" t="s">
        <v>17</v>
      </c>
      <c r="E270" s="1" t="s">
        <v>11</v>
      </c>
      <c r="F270" s="1">
        <v>3</v>
      </c>
      <c r="G270" s="1">
        <v>511.74</v>
      </c>
      <c r="H270" s="2">
        <v>0.04</v>
      </c>
      <c r="I270" s="1" t="s">
        <v>16</v>
      </c>
      <c r="J270" s="1">
        <v>2.2999999999999998</v>
      </c>
      <c r="K270" s="23">
        <v>1473.81</v>
      </c>
    </row>
    <row r="271" spans="1:11" x14ac:dyDescent="0.3">
      <c r="A271" s="1">
        <v>10270</v>
      </c>
      <c r="B271" s="3">
        <v>44831</v>
      </c>
      <c r="C271" s="3" t="str">
        <f>TEXT(Table1[[#This Row],[order_date]],"mmmm")</f>
        <v>September</v>
      </c>
      <c r="D271" s="1" t="s">
        <v>20</v>
      </c>
      <c r="E271" s="1" t="s">
        <v>18</v>
      </c>
      <c r="F271" s="1">
        <v>2</v>
      </c>
      <c r="G271" s="1">
        <v>152.85</v>
      </c>
      <c r="H271" s="2">
        <v>0.02</v>
      </c>
      <c r="I271" s="1" t="s">
        <v>12</v>
      </c>
      <c r="J271" s="1">
        <v>4.9000000000000004</v>
      </c>
      <c r="K271" s="23">
        <v>299.58999999999997</v>
      </c>
    </row>
    <row r="272" spans="1:11" x14ac:dyDescent="0.3">
      <c r="A272" s="1">
        <v>10271</v>
      </c>
      <c r="B272" s="3">
        <v>44832</v>
      </c>
      <c r="C272" s="3" t="str">
        <f>TEXT(Table1[[#This Row],[order_date]],"mmmm")</f>
        <v>September</v>
      </c>
      <c r="D272" s="1" t="s">
        <v>13</v>
      </c>
      <c r="E272" s="1" t="s">
        <v>18</v>
      </c>
      <c r="F272" s="1">
        <v>5</v>
      </c>
      <c r="G272" s="1">
        <v>562.07000000000005</v>
      </c>
      <c r="H272" s="2">
        <v>0.26</v>
      </c>
      <c r="I272" s="1" t="s">
        <v>14</v>
      </c>
      <c r="J272" s="1">
        <v>4.2</v>
      </c>
      <c r="K272" s="23">
        <v>2079.66</v>
      </c>
    </row>
    <row r="273" spans="1:11" x14ac:dyDescent="0.3">
      <c r="A273" s="1">
        <v>10272</v>
      </c>
      <c r="B273" s="3">
        <v>44833</v>
      </c>
      <c r="C273" s="3" t="str">
        <f>TEXT(Table1[[#This Row],[order_date]],"mmmm")</f>
        <v>September</v>
      </c>
      <c r="D273" s="1" t="s">
        <v>13</v>
      </c>
      <c r="E273" s="1" t="s">
        <v>15</v>
      </c>
      <c r="F273" s="1">
        <v>1</v>
      </c>
      <c r="G273" s="1">
        <v>573.62</v>
      </c>
      <c r="H273" s="2">
        <v>0.06</v>
      </c>
      <c r="I273" s="1" t="s">
        <v>14</v>
      </c>
      <c r="J273" s="1">
        <v>2.9</v>
      </c>
      <c r="K273" s="23">
        <v>539.20000000000005</v>
      </c>
    </row>
    <row r="274" spans="1:11" x14ac:dyDescent="0.3">
      <c r="A274" s="1">
        <v>10273</v>
      </c>
      <c r="B274" s="3">
        <v>44834</v>
      </c>
      <c r="C274" s="3" t="str">
        <f>TEXT(Table1[[#This Row],[order_date]],"mmmm")</f>
        <v>September</v>
      </c>
      <c r="D274" s="1" t="s">
        <v>20</v>
      </c>
      <c r="E274" s="1" t="s">
        <v>18</v>
      </c>
      <c r="F274" s="1">
        <v>4</v>
      </c>
      <c r="G274" s="1">
        <v>575.96</v>
      </c>
      <c r="H274" s="2">
        <v>0.32</v>
      </c>
      <c r="I274" s="1" t="s">
        <v>16</v>
      </c>
      <c r="J274" s="1">
        <v>2.2000000000000002</v>
      </c>
      <c r="K274" s="23">
        <v>1566.61</v>
      </c>
    </row>
    <row r="275" spans="1:11" x14ac:dyDescent="0.3">
      <c r="A275" s="1">
        <v>10274</v>
      </c>
      <c r="B275" s="3">
        <v>44835</v>
      </c>
      <c r="C275" s="3" t="str">
        <f>TEXT(Table1[[#This Row],[order_date]],"mmmm")</f>
        <v>October</v>
      </c>
      <c r="D275" s="1" t="s">
        <v>10</v>
      </c>
      <c r="E275" s="1" t="s">
        <v>15</v>
      </c>
      <c r="F275" s="1">
        <v>4</v>
      </c>
      <c r="G275" s="1">
        <v>504.97</v>
      </c>
      <c r="H275" s="2">
        <v>0.13</v>
      </c>
      <c r="I275" s="1" t="s">
        <v>16</v>
      </c>
      <c r="J275" s="1">
        <v>2.7</v>
      </c>
      <c r="K275" s="23">
        <v>1757.3</v>
      </c>
    </row>
    <row r="276" spans="1:11" x14ac:dyDescent="0.3">
      <c r="A276" s="1">
        <v>10275</v>
      </c>
      <c r="B276" s="3">
        <v>44836</v>
      </c>
      <c r="C276" s="3" t="str">
        <f>TEXT(Table1[[#This Row],[order_date]],"mmmm")</f>
        <v>October</v>
      </c>
      <c r="D276" s="1" t="s">
        <v>10</v>
      </c>
      <c r="E276" s="1" t="s">
        <v>15</v>
      </c>
      <c r="F276" s="1">
        <v>4</v>
      </c>
      <c r="G276" s="1">
        <v>227.84</v>
      </c>
      <c r="H276" s="2">
        <v>0.23</v>
      </c>
      <c r="I276" s="1" t="s">
        <v>14</v>
      </c>
      <c r="J276" s="1">
        <v>1.1000000000000001</v>
      </c>
      <c r="K276" s="23">
        <v>701.75</v>
      </c>
    </row>
    <row r="277" spans="1:11" x14ac:dyDescent="0.3">
      <c r="A277" s="1">
        <v>10276</v>
      </c>
      <c r="B277" s="3">
        <v>44837</v>
      </c>
      <c r="C277" s="3" t="str">
        <f>TEXT(Table1[[#This Row],[order_date]],"mmmm")</f>
        <v>October</v>
      </c>
      <c r="D277" s="1" t="s">
        <v>13</v>
      </c>
      <c r="E277" s="1" t="s">
        <v>11</v>
      </c>
      <c r="F277" s="1">
        <v>5</v>
      </c>
      <c r="G277" s="1">
        <v>57.52</v>
      </c>
      <c r="H277" s="2">
        <v>0.08</v>
      </c>
      <c r="I277" s="1" t="s">
        <v>14</v>
      </c>
      <c r="J277" s="1">
        <v>3.9</v>
      </c>
      <c r="K277" s="23">
        <v>264.58999999999997</v>
      </c>
    </row>
    <row r="278" spans="1:11" x14ac:dyDescent="0.3">
      <c r="A278" s="1">
        <v>10277</v>
      </c>
      <c r="B278" s="3">
        <v>44838</v>
      </c>
      <c r="C278" s="3" t="str">
        <f>TEXT(Table1[[#This Row],[order_date]],"mmmm")</f>
        <v>October</v>
      </c>
      <c r="D278" s="1" t="s">
        <v>13</v>
      </c>
      <c r="E278" s="1" t="s">
        <v>18</v>
      </c>
      <c r="F278" s="1">
        <v>5</v>
      </c>
      <c r="G278" s="1">
        <v>347.76</v>
      </c>
      <c r="H278" s="2">
        <v>0.08</v>
      </c>
      <c r="I278" s="1" t="s">
        <v>14</v>
      </c>
      <c r="J278" s="1">
        <v>1.4</v>
      </c>
      <c r="K278" s="23">
        <v>1599.7</v>
      </c>
    </row>
    <row r="279" spans="1:11" x14ac:dyDescent="0.3">
      <c r="A279" s="1">
        <v>10278</v>
      </c>
      <c r="B279" s="3">
        <v>44839</v>
      </c>
      <c r="C279" s="3" t="str">
        <f>TEXT(Table1[[#This Row],[order_date]],"mmmm")</f>
        <v>October</v>
      </c>
      <c r="D279" s="1" t="s">
        <v>20</v>
      </c>
      <c r="E279" s="1" t="s">
        <v>11</v>
      </c>
      <c r="F279" s="1">
        <v>3</v>
      </c>
      <c r="G279" s="1">
        <v>341.83</v>
      </c>
      <c r="H279" s="2">
        <v>0.2</v>
      </c>
      <c r="I279" s="1" t="s">
        <v>14</v>
      </c>
      <c r="J279" s="1">
        <v>3.1</v>
      </c>
      <c r="K279" s="23">
        <v>820.39</v>
      </c>
    </row>
    <row r="280" spans="1:11" x14ac:dyDescent="0.3">
      <c r="A280" s="1">
        <v>10279</v>
      </c>
      <c r="B280" s="3">
        <v>44840</v>
      </c>
      <c r="C280" s="3" t="str">
        <f>TEXT(Table1[[#This Row],[order_date]],"mmmm")</f>
        <v>October</v>
      </c>
      <c r="D280" s="1" t="s">
        <v>17</v>
      </c>
      <c r="E280" s="1" t="s">
        <v>15</v>
      </c>
      <c r="F280" s="1">
        <v>7</v>
      </c>
      <c r="G280" s="1">
        <v>512.24</v>
      </c>
      <c r="H280" s="2">
        <v>0.2</v>
      </c>
      <c r="I280" s="1" t="s">
        <v>14</v>
      </c>
      <c r="J280" s="1">
        <v>3.3</v>
      </c>
      <c r="K280" s="23">
        <v>2868.54</v>
      </c>
    </row>
    <row r="281" spans="1:11" x14ac:dyDescent="0.3">
      <c r="A281" s="1">
        <v>10280</v>
      </c>
      <c r="B281" s="3">
        <v>44841</v>
      </c>
      <c r="C281" s="3" t="str">
        <f>TEXT(Table1[[#This Row],[order_date]],"mmmm")</f>
        <v>October</v>
      </c>
      <c r="D281" s="1" t="s">
        <v>13</v>
      </c>
      <c r="E281" s="1" t="s">
        <v>15</v>
      </c>
      <c r="F281" s="1">
        <v>3</v>
      </c>
      <c r="G281" s="1">
        <v>597.65</v>
      </c>
      <c r="H281" s="2">
        <v>0.27</v>
      </c>
      <c r="I281" s="1" t="s">
        <v>14</v>
      </c>
      <c r="J281" s="1">
        <v>1</v>
      </c>
      <c r="K281" s="23">
        <v>1308.8499999999999</v>
      </c>
    </row>
    <row r="282" spans="1:11" x14ac:dyDescent="0.3">
      <c r="A282" s="1">
        <v>10281</v>
      </c>
      <c r="B282" s="3">
        <v>44842</v>
      </c>
      <c r="C282" s="3" t="str">
        <f>TEXT(Table1[[#This Row],[order_date]],"mmmm")</f>
        <v>October</v>
      </c>
      <c r="D282" s="1" t="s">
        <v>13</v>
      </c>
      <c r="E282" s="1" t="s">
        <v>15</v>
      </c>
      <c r="F282" s="1">
        <v>3</v>
      </c>
      <c r="G282" s="1">
        <v>312.27</v>
      </c>
      <c r="H282" s="2">
        <v>0.27</v>
      </c>
      <c r="I282" s="1" t="s">
        <v>16</v>
      </c>
      <c r="J282" s="1">
        <v>4.9000000000000004</v>
      </c>
      <c r="K282" s="23">
        <v>683.87</v>
      </c>
    </row>
    <row r="283" spans="1:11" x14ac:dyDescent="0.3">
      <c r="A283" s="1">
        <v>10282</v>
      </c>
      <c r="B283" s="3">
        <v>44843</v>
      </c>
      <c r="C283" s="3" t="str">
        <f>TEXT(Table1[[#This Row],[order_date]],"mmmm")</f>
        <v>October</v>
      </c>
      <c r="D283" s="1" t="s">
        <v>20</v>
      </c>
      <c r="E283" s="1" t="s">
        <v>19</v>
      </c>
      <c r="F283" s="1">
        <v>6</v>
      </c>
      <c r="G283" s="1">
        <v>216.94</v>
      </c>
      <c r="H283" s="2">
        <v>0.23</v>
      </c>
      <c r="I283" s="1" t="s">
        <v>16</v>
      </c>
      <c r="J283" s="1">
        <v>2.2000000000000002</v>
      </c>
      <c r="K283" s="23">
        <v>1002.26</v>
      </c>
    </row>
    <row r="284" spans="1:11" x14ac:dyDescent="0.3">
      <c r="A284" s="1">
        <v>10283</v>
      </c>
      <c r="B284" s="3">
        <v>44844</v>
      </c>
      <c r="C284" s="3" t="str">
        <f>TEXT(Table1[[#This Row],[order_date]],"mmmm")</f>
        <v>October</v>
      </c>
      <c r="D284" s="1" t="s">
        <v>17</v>
      </c>
      <c r="E284" s="1" t="s">
        <v>19</v>
      </c>
      <c r="F284" s="1">
        <v>4</v>
      </c>
      <c r="G284" s="1">
        <v>123.75</v>
      </c>
      <c r="H284" s="2">
        <v>0.16</v>
      </c>
      <c r="I284" s="1" t="s">
        <v>14</v>
      </c>
      <c r="J284" s="1">
        <v>1.3</v>
      </c>
      <c r="K284" s="23">
        <v>415.8</v>
      </c>
    </row>
    <row r="285" spans="1:11" x14ac:dyDescent="0.3">
      <c r="A285" s="1">
        <v>10284</v>
      </c>
      <c r="B285" s="3">
        <v>44845</v>
      </c>
      <c r="C285" s="3" t="str">
        <f>TEXT(Table1[[#This Row],[order_date]],"mmmm")</f>
        <v>October</v>
      </c>
      <c r="D285" s="1" t="s">
        <v>17</v>
      </c>
      <c r="E285" s="1" t="s">
        <v>19</v>
      </c>
      <c r="F285" s="1">
        <v>5</v>
      </c>
      <c r="G285" s="1">
        <v>17.809999999999999</v>
      </c>
      <c r="H285" s="2">
        <v>0.31</v>
      </c>
      <c r="I285" s="1" t="s">
        <v>16</v>
      </c>
      <c r="J285" s="1">
        <v>4.4000000000000004</v>
      </c>
      <c r="K285" s="23">
        <v>61.44</v>
      </c>
    </row>
    <row r="286" spans="1:11" x14ac:dyDescent="0.3">
      <c r="A286" s="1">
        <v>10285</v>
      </c>
      <c r="B286" s="3">
        <v>44846</v>
      </c>
      <c r="C286" s="3" t="str">
        <f>TEXT(Table1[[#This Row],[order_date]],"mmmm")</f>
        <v>October</v>
      </c>
      <c r="D286" s="1" t="s">
        <v>10</v>
      </c>
      <c r="E286" s="1" t="s">
        <v>11</v>
      </c>
      <c r="F286" s="1">
        <v>4</v>
      </c>
      <c r="G286" s="1">
        <v>312.83</v>
      </c>
      <c r="H286" s="2">
        <v>0.22</v>
      </c>
      <c r="I286" s="1" t="s">
        <v>16</v>
      </c>
      <c r="J286" s="1">
        <v>1.6</v>
      </c>
      <c r="K286" s="23">
        <v>976.03</v>
      </c>
    </row>
    <row r="287" spans="1:11" x14ac:dyDescent="0.3">
      <c r="A287" s="1">
        <v>10286</v>
      </c>
      <c r="B287" s="3">
        <v>44847</v>
      </c>
      <c r="C287" s="3" t="str">
        <f>TEXT(Table1[[#This Row],[order_date]],"mmmm")</f>
        <v>October</v>
      </c>
      <c r="D287" s="1" t="s">
        <v>17</v>
      </c>
      <c r="E287" s="1" t="s">
        <v>15</v>
      </c>
      <c r="F287" s="1">
        <v>3</v>
      </c>
      <c r="G287" s="1">
        <v>339.98</v>
      </c>
      <c r="H287" s="2">
        <v>0.35</v>
      </c>
      <c r="I287" s="1" t="s">
        <v>12</v>
      </c>
      <c r="J287" s="1">
        <v>1.1000000000000001</v>
      </c>
      <c r="K287" s="23">
        <v>662.96</v>
      </c>
    </row>
    <row r="288" spans="1:11" x14ac:dyDescent="0.3">
      <c r="A288" s="1">
        <v>10287</v>
      </c>
      <c r="B288" s="3">
        <v>44848</v>
      </c>
      <c r="C288" s="3" t="str">
        <f>TEXT(Table1[[#This Row],[order_date]],"mmmm")</f>
        <v>October</v>
      </c>
      <c r="D288" s="1" t="s">
        <v>13</v>
      </c>
      <c r="E288" s="1" t="s">
        <v>18</v>
      </c>
      <c r="F288" s="1">
        <v>5</v>
      </c>
      <c r="G288" s="1">
        <v>497.59</v>
      </c>
      <c r="H288" s="2">
        <v>0.28999999999999998</v>
      </c>
      <c r="I288" s="1" t="s">
        <v>14</v>
      </c>
      <c r="J288" s="1">
        <v>3</v>
      </c>
      <c r="K288" s="23">
        <v>1766.44</v>
      </c>
    </row>
    <row r="289" spans="1:11" x14ac:dyDescent="0.3">
      <c r="A289" s="1">
        <v>10288</v>
      </c>
      <c r="B289" s="3">
        <v>44849</v>
      </c>
      <c r="C289" s="3" t="str">
        <f>TEXT(Table1[[#This Row],[order_date]],"mmmm")</f>
        <v>October</v>
      </c>
      <c r="D289" s="1" t="s">
        <v>17</v>
      </c>
      <c r="E289" s="1" t="s">
        <v>11</v>
      </c>
      <c r="F289" s="1">
        <v>2</v>
      </c>
      <c r="G289" s="1">
        <v>310.18</v>
      </c>
      <c r="H289" s="2">
        <v>0.02</v>
      </c>
      <c r="I289" s="1" t="s">
        <v>16</v>
      </c>
      <c r="J289" s="1">
        <v>1.5</v>
      </c>
      <c r="K289" s="23">
        <v>607.95000000000005</v>
      </c>
    </row>
    <row r="290" spans="1:11" x14ac:dyDescent="0.3">
      <c r="A290" s="1">
        <v>10289</v>
      </c>
      <c r="B290" s="3">
        <v>44850</v>
      </c>
      <c r="C290" s="3" t="str">
        <f>TEXT(Table1[[#This Row],[order_date]],"mmmm")</f>
        <v>October</v>
      </c>
      <c r="D290" s="1" t="s">
        <v>17</v>
      </c>
      <c r="E290" s="1" t="s">
        <v>11</v>
      </c>
      <c r="F290" s="1">
        <v>1</v>
      </c>
      <c r="G290" s="1">
        <v>551.13</v>
      </c>
      <c r="H290" s="2">
        <v>0.11</v>
      </c>
      <c r="I290" s="1" t="s">
        <v>16</v>
      </c>
      <c r="J290" s="1">
        <v>4.9000000000000004</v>
      </c>
      <c r="K290" s="23">
        <v>490.51</v>
      </c>
    </row>
    <row r="291" spans="1:11" x14ac:dyDescent="0.3">
      <c r="A291" s="1">
        <v>10290</v>
      </c>
      <c r="B291" s="3">
        <v>44851</v>
      </c>
      <c r="C291" s="3" t="str">
        <f>TEXT(Table1[[#This Row],[order_date]],"mmmm")</f>
        <v>October</v>
      </c>
      <c r="D291" s="1" t="s">
        <v>17</v>
      </c>
      <c r="E291" s="1" t="s">
        <v>11</v>
      </c>
      <c r="F291" s="1">
        <v>1</v>
      </c>
      <c r="G291" s="1">
        <v>382.43</v>
      </c>
      <c r="H291" s="2">
        <v>0.2</v>
      </c>
      <c r="I291" s="1" t="s">
        <v>14</v>
      </c>
      <c r="J291" s="1">
        <v>1</v>
      </c>
      <c r="K291" s="23">
        <v>305.94</v>
      </c>
    </row>
    <row r="292" spans="1:11" x14ac:dyDescent="0.3">
      <c r="A292" s="1">
        <v>10291</v>
      </c>
      <c r="B292" s="3">
        <v>44852</v>
      </c>
      <c r="C292" s="3" t="str">
        <f>TEXT(Table1[[#This Row],[order_date]],"mmmm")</f>
        <v>October</v>
      </c>
      <c r="D292" s="1" t="s">
        <v>17</v>
      </c>
      <c r="E292" s="1" t="s">
        <v>18</v>
      </c>
      <c r="F292" s="1">
        <v>3</v>
      </c>
      <c r="G292" s="1">
        <v>506.6</v>
      </c>
      <c r="H292" s="2">
        <v>0.25</v>
      </c>
      <c r="I292" s="1" t="s">
        <v>12</v>
      </c>
      <c r="J292" s="1">
        <v>1.2</v>
      </c>
      <c r="K292" s="23">
        <v>1139.8499999999999</v>
      </c>
    </row>
    <row r="293" spans="1:11" x14ac:dyDescent="0.3">
      <c r="A293" s="1">
        <v>10292</v>
      </c>
      <c r="B293" s="3">
        <v>44853</v>
      </c>
      <c r="C293" s="3" t="str">
        <f>TEXT(Table1[[#This Row],[order_date]],"mmmm")</f>
        <v>October</v>
      </c>
      <c r="D293" s="1" t="s">
        <v>10</v>
      </c>
      <c r="E293" s="1" t="s">
        <v>15</v>
      </c>
      <c r="F293" s="1">
        <v>7</v>
      </c>
      <c r="G293" s="1">
        <v>101.76</v>
      </c>
      <c r="H293" s="2">
        <v>0.19</v>
      </c>
      <c r="I293" s="1" t="s">
        <v>16</v>
      </c>
      <c r="J293" s="1">
        <v>4.3</v>
      </c>
      <c r="K293" s="23">
        <v>576.98</v>
      </c>
    </row>
    <row r="294" spans="1:11" x14ac:dyDescent="0.3">
      <c r="A294" s="1">
        <v>10293</v>
      </c>
      <c r="B294" s="3">
        <v>44854</v>
      </c>
      <c r="C294" s="3" t="str">
        <f>TEXT(Table1[[#This Row],[order_date]],"mmmm")</f>
        <v>October</v>
      </c>
      <c r="D294" s="1" t="s">
        <v>17</v>
      </c>
      <c r="E294" s="1" t="s">
        <v>19</v>
      </c>
      <c r="F294" s="1">
        <v>4</v>
      </c>
      <c r="G294" s="1">
        <v>515.37</v>
      </c>
      <c r="H294" s="2">
        <v>0.28000000000000003</v>
      </c>
      <c r="I294" s="1" t="s">
        <v>16</v>
      </c>
      <c r="J294" s="1">
        <v>2</v>
      </c>
      <c r="K294" s="23">
        <v>1484.27</v>
      </c>
    </row>
    <row r="295" spans="1:11" x14ac:dyDescent="0.3">
      <c r="A295" s="1">
        <v>10294</v>
      </c>
      <c r="B295" s="3">
        <v>44855</v>
      </c>
      <c r="C295" s="3" t="str">
        <f>TEXT(Table1[[#This Row],[order_date]],"mmmm")</f>
        <v>October</v>
      </c>
      <c r="D295" s="1" t="s">
        <v>10</v>
      </c>
      <c r="E295" s="1" t="s">
        <v>15</v>
      </c>
      <c r="F295" s="1">
        <v>2</v>
      </c>
      <c r="G295" s="1">
        <v>409.96</v>
      </c>
      <c r="H295" s="2">
        <v>0.1</v>
      </c>
      <c r="I295" s="1" t="s">
        <v>14</v>
      </c>
      <c r="J295" s="1">
        <v>4.5999999999999996</v>
      </c>
      <c r="K295" s="23">
        <v>737.93</v>
      </c>
    </row>
    <row r="296" spans="1:11" x14ac:dyDescent="0.3">
      <c r="A296" s="1">
        <v>10295</v>
      </c>
      <c r="B296" s="3">
        <v>44856</v>
      </c>
      <c r="C296" s="3" t="str">
        <f>TEXT(Table1[[#This Row],[order_date]],"mmmm")</f>
        <v>October</v>
      </c>
      <c r="D296" s="1" t="s">
        <v>13</v>
      </c>
      <c r="E296" s="1" t="s">
        <v>15</v>
      </c>
      <c r="F296" s="1">
        <v>5</v>
      </c>
      <c r="G296" s="1">
        <v>114.59</v>
      </c>
      <c r="H296" s="2">
        <v>0.06</v>
      </c>
      <c r="I296" s="1" t="s">
        <v>14</v>
      </c>
      <c r="J296" s="1">
        <v>2.2000000000000002</v>
      </c>
      <c r="K296" s="23">
        <v>538.57000000000005</v>
      </c>
    </row>
    <row r="297" spans="1:11" x14ac:dyDescent="0.3">
      <c r="A297" s="1">
        <v>10296</v>
      </c>
      <c r="B297" s="3">
        <v>44857</v>
      </c>
      <c r="C297" s="3" t="str">
        <f>TEXT(Table1[[#This Row],[order_date]],"mmmm")</f>
        <v>October</v>
      </c>
      <c r="D297" s="1" t="s">
        <v>13</v>
      </c>
      <c r="E297" s="1" t="s">
        <v>11</v>
      </c>
      <c r="F297" s="1">
        <v>7</v>
      </c>
      <c r="G297" s="1">
        <v>126.01</v>
      </c>
      <c r="H297" s="2">
        <v>0.02</v>
      </c>
      <c r="I297" s="1" t="s">
        <v>16</v>
      </c>
      <c r="J297" s="1">
        <v>1.3</v>
      </c>
      <c r="K297" s="23">
        <v>864.43</v>
      </c>
    </row>
    <row r="298" spans="1:11" x14ac:dyDescent="0.3">
      <c r="A298" s="1">
        <v>10297</v>
      </c>
      <c r="B298" s="3">
        <v>44858</v>
      </c>
      <c r="C298" s="3" t="str">
        <f>TEXT(Table1[[#This Row],[order_date]],"mmmm")</f>
        <v>October</v>
      </c>
      <c r="D298" s="1" t="s">
        <v>13</v>
      </c>
      <c r="E298" s="1" t="s">
        <v>11</v>
      </c>
      <c r="F298" s="1">
        <v>4</v>
      </c>
      <c r="G298" s="1">
        <v>557</v>
      </c>
      <c r="H298" s="2">
        <v>0.2</v>
      </c>
      <c r="I298" s="1" t="s">
        <v>14</v>
      </c>
      <c r="J298" s="1">
        <v>1</v>
      </c>
      <c r="K298" s="23">
        <v>1782.4</v>
      </c>
    </row>
    <row r="299" spans="1:11" x14ac:dyDescent="0.3">
      <c r="A299" s="1">
        <v>10298</v>
      </c>
      <c r="B299" s="3">
        <v>44859</v>
      </c>
      <c r="C299" s="3" t="str">
        <f>TEXT(Table1[[#This Row],[order_date]],"mmmm")</f>
        <v>October</v>
      </c>
      <c r="D299" s="1" t="s">
        <v>13</v>
      </c>
      <c r="E299" s="1" t="s">
        <v>11</v>
      </c>
      <c r="F299" s="1">
        <v>3</v>
      </c>
      <c r="G299" s="1">
        <v>33.85</v>
      </c>
      <c r="H299" s="2">
        <v>0.24</v>
      </c>
      <c r="I299" s="1" t="s">
        <v>16</v>
      </c>
      <c r="J299" s="1">
        <v>2.1</v>
      </c>
      <c r="K299" s="23">
        <v>77.180000000000007</v>
      </c>
    </row>
    <row r="300" spans="1:11" x14ac:dyDescent="0.3">
      <c r="A300" s="1">
        <v>10299</v>
      </c>
      <c r="B300" s="3">
        <v>44860</v>
      </c>
      <c r="C300" s="3" t="str">
        <f>TEXT(Table1[[#This Row],[order_date]],"mmmm")</f>
        <v>October</v>
      </c>
      <c r="D300" s="1" t="s">
        <v>20</v>
      </c>
      <c r="E300" s="1" t="s">
        <v>19</v>
      </c>
      <c r="F300" s="1">
        <v>4</v>
      </c>
      <c r="G300" s="1">
        <v>285.58</v>
      </c>
      <c r="H300" s="2">
        <v>0.11</v>
      </c>
      <c r="I300" s="1" t="s">
        <v>14</v>
      </c>
      <c r="J300" s="1">
        <v>2.9</v>
      </c>
      <c r="K300" s="23">
        <v>1016.66</v>
      </c>
    </row>
    <row r="301" spans="1:11" x14ac:dyDescent="0.3">
      <c r="A301" s="1">
        <v>10300</v>
      </c>
      <c r="B301" s="3">
        <v>44861</v>
      </c>
      <c r="C301" s="3" t="str">
        <f>TEXT(Table1[[#This Row],[order_date]],"mmmm")</f>
        <v>October</v>
      </c>
      <c r="D301" s="1" t="s">
        <v>17</v>
      </c>
      <c r="E301" s="1" t="s">
        <v>19</v>
      </c>
      <c r="F301" s="1">
        <v>3</v>
      </c>
      <c r="G301" s="1">
        <v>198.38</v>
      </c>
      <c r="H301" s="2">
        <v>0.21</v>
      </c>
      <c r="I301" s="1" t="s">
        <v>16</v>
      </c>
      <c r="J301" s="1">
        <v>1</v>
      </c>
      <c r="K301" s="23">
        <v>470.16</v>
      </c>
    </row>
    <row r="302" spans="1:11" x14ac:dyDescent="0.3">
      <c r="A302" s="1">
        <v>10301</v>
      </c>
      <c r="B302" s="3">
        <v>44862</v>
      </c>
      <c r="C302" s="3" t="str">
        <f>TEXT(Table1[[#This Row],[order_date]],"mmmm")</f>
        <v>October</v>
      </c>
      <c r="D302" s="1" t="s">
        <v>13</v>
      </c>
      <c r="E302" s="1" t="s">
        <v>19</v>
      </c>
      <c r="F302" s="1">
        <v>6</v>
      </c>
      <c r="G302" s="1">
        <v>404.07</v>
      </c>
      <c r="H302" s="2">
        <v>0.02</v>
      </c>
      <c r="I302" s="1" t="s">
        <v>16</v>
      </c>
      <c r="J302" s="1">
        <v>3.3</v>
      </c>
      <c r="K302" s="23">
        <v>2375.9299999999998</v>
      </c>
    </row>
    <row r="303" spans="1:11" x14ac:dyDescent="0.3">
      <c r="A303" s="1">
        <v>10302</v>
      </c>
      <c r="B303" s="3">
        <v>44863</v>
      </c>
      <c r="C303" s="3" t="str">
        <f>TEXT(Table1[[#This Row],[order_date]],"mmmm")</f>
        <v>October</v>
      </c>
      <c r="D303" s="1" t="s">
        <v>10</v>
      </c>
      <c r="E303" s="1" t="s">
        <v>15</v>
      </c>
      <c r="F303" s="1">
        <v>1</v>
      </c>
      <c r="G303" s="1">
        <v>506.18</v>
      </c>
      <c r="H303" s="2">
        <v>0.03</v>
      </c>
      <c r="I303" s="1" t="s">
        <v>14</v>
      </c>
      <c r="J303" s="1">
        <v>2.2999999999999998</v>
      </c>
      <c r="K303" s="23">
        <v>490.99</v>
      </c>
    </row>
    <row r="304" spans="1:11" x14ac:dyDescent="0.3">
      <c r="A304" s="1">
        <v>10303</v>
      </c>
      <c r="B304" s="3">
        <v>44864</v>
      </c>
      <c r="C304" s="3" t="str">
        <f>TEXT(Table1[[#This Row],[order_date]],"mmmm")</f>
        <v>October</v>
      </c>
      <c r="D304" s="1" t="s">
        <v>10</v>
      </c>
      <c r="E304" s="1" t="s">
        <v>11</v>
      </c>
      <c r="F304" s="1">
        <v>7</v>
      </c>
      <c r="G304" s="1">
        <v>225.82</v>
      </c>
      <c r="H304" s="2">
        <v>0.25</v>
      </c>
      <c r="I304" s="1" t="s">
        <v>16</v>
      </c>
      <c r="J304" s="1">
        <v>2.6</v>
      </c>
      <c r="K304" s="23">
        <v>1185.56</v>
      </c>
    </row>
    <row r="305" spans="1:11" x14ac:dyDescent="0.3">
      <c r="A305" s="1">
        <v>10304</v>
      </c>
      <c r="B305" s="3">
        <v>44865</v>
      </c>
      <c r="C305" s="3" t="str">
        <f>TEXT(Table1[[#This Row],[order_date]],"mmmm")</f>
        <v>October</v>
      </c>
      <c r="D305" s="1" t="s">
        <v>10</v>
      </c>
      <c r="E305" s="1" t="s">
        <v>18</v>
      </c>
      <c r="F305" s="1">
        <v>1</v>
      </c>
      <c r="G305" s="1">
        <v>264.74</v>
      </c>
      <c r="H305" s="2">
        <v>0.13</v>
      </c>
      <c r="I305" s="1" t="s">
        <v>14</v>
      </c>
      <c r="J305" s="1">
        <v>2</v>
      </c>
      <c r="K305" s="23">
        <v>230.32</v>
      </c>
    </row>
    <row r="306" spans="1:11" x14ac:dyDescent="0.3">
      <c r="A306" s="1">
        <v>10305</v>
      </c>
      <c r="B306" s="3">
        <v>44866</v>
      </c>
      <c r="C306" s="3" t="str">
        <f>TEXT(Table1[[#This Row],[order_date]],"mmmm")</f>
        <v>November</v>
      </c>
      <c r="D306" s="1" t="s">
        <v>13</v>
      </c>
      <c r="E306" s="1" t="s">
        <v>15</v>
      </c>
      <c r="F306" s="1">
        <v>4</v>
      </c>
      <c r="G306" s="1">
        <v>589.41999999999996</v>
      </c>
      <c r="H306" s="2">
        <v>0.23</v>
      </c>
      <c r="I306" s="1" t="s">
        <v>14</v>
      </c>
      <c r="J306" s="1">
        <v>3.1</v>
      </c>
      <c r="K306" s="23">
        <v>1815.41</v>
      </c>
    </row>
    <row r="307" spans="1:11" x14ac:dyDescent="0.3">
      <c r="A307" s="1">
        <v>10306</v>
      </c>
      <c r="B307" s="3">
        <v>44867</v>
      </c>
      <c r="C307" s="3" t="str">
        <f>TEXT(Table1[[#This Row],[order_date]],"mmmm")</f>
        <v>November</v>
      </c>
      <c r="D307" s="1" t="s">
        <v>20</v>
      </c>
      <c r="E307" s="1" t="s">
        <v>19</v>
      </c>
      <c r="F307" s="1">
        <v>2</v>
      </c>
      <c r="G307" s="1">
        <v>473.59</v>
      </c>
      <c r="H307" s="2">
        <v>0.28999999999999998</v>
      </c>
      <c r="I307" s="1" t="s">
        <v>14</v>
      </c>
      <c r="J307" s="1">
        <v>1.9</v>
      </c>
      <c r="K307" s="23">
        <v>672.5</v>
      </c>
    </row>
    <row r="308" spans="1:11" x14ac:dyDescent="0.3">
      <c r="A308" s="1">
        <v>10307</v>
      </c>
      <c r="B308" s="3">
        <v>44868</v>
      </c>
      <c r="C308" s="3" t="str">
        <f>TEXT(Table1[[#This Row],[order_date]],"mmmm")</f>
        <v>November</v>
      </c>
      <c r="D308" s="1" t="s">
        <v>13</v>
      </c>
      <c r="E308" s="1" t="s">
        <v>18</v>
      </c>
      <c r="F308" s="1">
        <v>5</v>
      </c>
      <c r="G308" s="1">
        <v>539.86</v>
      </c>
      <c r="H308" s="2">
        <v>0.3</v>
      </c>
      <c r="I308" s="1" t="s">
        <v>14</v>
      </c>
      <c r="J308" s="1">
        <v>1.5</v>
      </c>
      <c r="K308" s="23">
        <v>1889.51</v>
      </c>
    </row>
    <row r="309" spans="1:11" x14ac:dyDescent="0.3">
      <c r="A309" s="1">
        <v>10308</v>
      </c>
      <c r="B309" s="3">
        <v>44869</v>
      </c>
      <c r="C309" s="3" t="str">
        <f>TEXT(Table1[[#This Row],[order_date]],"mmmm")</f>
        <v>November</v>
      </c>
      <c r="D309" s="1" t="s">
        <v>13</v>
      </c>
      <c r="E309" s="1" t="s">
        <v>18</v>
      </c>
      <c r="F309" s="1">
        <v>3</v>
      </c>
      <c r="G309" s="1">
        <v>271.68</v>
      </c>
      <c r="H309" s="2">
        <v>0.06</v>
      </c>
      <c r="I309" s="1" t="s">
        <v>14</v>
      </c>
      <c r="J309" s="1">
        <v>4.5999999999999996</v>
      </c>
      <c r="K309" s="23">
        <v>766.14</v>
      </c>
    </row>
    <row r="310" spans="1:11" x14ac:dyDescent="0.3">
      <c r="A310" s="1">
        <v>10309</v>
      </c>
      <c r="B310" s="3">
        <v>44870</v>
      </c>
      <c r="C310" s="3" t="str">
        <f>TEXT(Table1[[#This Row],[order_date]],"mmmm")</f>
        <v>November</v>
      </c>
      <c r="D310" s="1" t="s">
        <v>17</v>
      </c>
      <c r="E310" s="1" t="s">
        <v>11</v>
      </c>
      <c r="F310" s="1">
        <v>5</v>
      </c>
      <c r="G310" s="1">
        <v>151.93</v>
      </c>
      <c r="H310" s="2">
        <v>0.17</v>
      </c>
      <c r="I310" s="1" t="s">
        <v>12</v>
      </c>
      <c r="J310" s="1">
        <v>2.6</v>
      </c>
      <c r="K310" s="23">
        <v>630.51</v>
      </c>
    </row>
    <row r="311" spans="1:11" x14ac:dyDescent="0.3">
      <c r="A311" s="1">
        <v>10310</v>
      </c>
      <c r="B311" s="3">
        <v>44871</v>
      </c>
      <c r="C311" s="3" t="str">
        <f>TEXT(Table1[[#This Row],[order_date]],"mmmm")</f>
        <v>November</v>
      </c>
      <c r="D311" s="1" t="s">
        <v>13</v>
      </c>
      <c r="E311" s="1" t="s">
        <v>18</v>
      </c>
      <c r="F311" s="1">
        <v>1</v>
      </c>
      <c r="G311" s="1">
        <v>255.94</v>
      </c>
      <c r="H311" s="2">
        <v>0.26</v>
      </c>
      <c r="I311" s="1" t="s">
        <v>14</v>
      </c>
      <c r="J311" s="1">
        <v>1.3</v>
      </c>
      <c r="K311" s="23">
        <v>189.4</v>
      </c>
    </row>
    <row r="312" spans="1:11" x14ac:dyDescent="0.3">
      <c r="A312" s="1">
        <v>10311</v>
      </c>
      <c r="B312" s="3">
        <v>44872</v>
      </c>
      <c r="C312" s="3" t="str">
        <f>TEXT(Table1[[#This Row],[order_date]],"mmmm")</f>
        <v>November</v>
      </c>
      <c r="D312" s="1" t="s">
        <v>17</v>
      </c>
      <c r="E312" s="1" t="s">
        <v>19</v>
      </c>
      <c r="F312" s="1">
        <v>2</v>
      </c>
      <c r="G312" s="1">
        <v>433.91</v>
      </c>
      <c r="H312" s="2">
        <v>0.27</v>
      </c>
      <c r="I312" s="1" t="s">
        <v>14</v>
      </c>
      <c r="J312" s="1">
        <v>1.9</v>
      </c>
      <c r="K312" s="23">
        <v>633.51</v>
      </c>
    </row>
    <row r="313" spans="1:11" x14ac:dyDescent="0.3">
      <c r="A313" s="1">
        <v>10312</v>
      </c>
      <c r="B313" s="3">
        <v>44873</v>
      </c>
      <c r="C313" s="3" t="str">
        <f>TEXT(Table1[[#This Row],[order_date]],"mmmm")</f>
        <v>November</v>
      </c>
      <c r="D313" s="1" t="s">
        <v>17</v>
      </c>
      <c r="E313" s="1" t="s">
        <v>11</v>
      </c>
      <c r="F313" s="1">
        <v>2</v>
      </c>
      <c r="G313" s="1">
        <v>79.02</v>
      </c>
      <c r="H313" s="2">
        <v>0.27</v>
      </c>
      <c r="I313" s="1" t="s">
        <v>14</v>
      </c>
      <c r="J313" s="1">
        <v>2.2000000000000002</v>
      </c>
      <c r="K313" s="23">
        <v>115.37</v>
      </c>
    </row>
    <row r="314" spans="1:11" x14ac:dyDescent="0.3">
      <c r="A314" s="1">
        <v>10313</v>
      </c>
      <c r="B314" s="3">
        <v>44874</v>
      </c>
      <c r="C314" s="3" t="str">
        <f>TEXT(Table1[[#This Row],[order_date]],"mmmm")</f>
        <v>November</v>
      </c>
      <c r="D314" s="1" t="s">
        <v>10</v>
      </c>
      <c r="E314" s="1" t="s">
        <v>18</v>
      </c>
      <c r="F314" s="1">
        <v>5</v>
      </c>
      <c r="G314" s="1">
        <v>173.22</v>
      </c>
      <c r="H314" s="2">
        <v>0.08</v>
      </c>
      <c r="I314" s="1" t="s">
        <v>14</v>
      </c>
      <c r="J314" s="1">
        <v>4.0999999999999996</v>
      </c>
      <c r="K314" s="23">
        <v>796.81</v>
      </c>
    </row>
    <row r="315" spans="1:11" x14ac:dyDescent="0.3">
      <c r="A315" s="1">
        <v>10314</v>
      </c>
      <c r="B315" s="3">
        <v>44875</v>
      </c>
      <c r="C315" s="3" t="str">
        <f>TEXT(Table1[[#This Row],[order_date]],"mmmm")</f>
        <v>November</v>
      </c>
      <c r="D315" s="1" t="s">
        <v>17</v>
      </c>
      <c r="E315" s="1" t="s">
        <v>11</v>
      </c>
      <c r="F315" s="1">
        <v>1</v>
      </c>
      <c r="G315" s="1">
        <v>42.28</v>
      </c>
      <c r="H315" s="2">
        <v>7.0000000000000007E-2</v>
      </c>
      <c r="I315" s="1" t="s">
        <v>16</v>
      </c>
      <c r="J315" s="1">
        <v>1.1000000000000001</v>
      </c>
      <c r="K315" s="23">
        <v>39.32</v>
      </c>
    </row>
    <row r="316" spans="1:11" x14ac:dyDescent="0.3">
      <c r="A316" s="1">
        <v>10315</v>
      </c>
      <c r="B316" s="3">
        <v>44876</v>
      </c>
      <c r="C316" s="3" t="str">
        <f>TEXT(Table1[[#This Row],[order_date]],"mmmm")</f>
        <v>November</v>
      </c>
      <c r="D316" s="1" t="s">
        <v>17</v>
      </c>
      <c r="E316" s="1" t="s">
        <v>18</v>
      </c>
      <c r="F316" s="1">
        <v>5</v>
      </c>
      <c r="G316" s="1">
        <v>267.92</v>
      </c>
      <c r="H316" s="2">
        <v>0.21</v>
      </c>
      <c r="I316" s="1" t="s">
        <v>14</v>
      </c>
      <c r="J316" s="1">
        <v>2.9</v>
      </c>
      <c r="K316" s="23">
        <v>1058.28</v>
      </c>
    </row>
    <row r="317" spans="1:11" x14ac:dyDescent="0.3">
      <c r="A317" s="1">
        <v>10316</v>
      </c>
      <c r="B317" s="3">
        <v>44877</v>
      </c>
      <c r="C317" s="3" t="str">
        <f>TEXT(Table1[[#This Row],[order_date]],"mmmm")</f>
        <v>November</v>
      </c>
      <c r="D317" s="1" t="s">
        <v>17</v>
      </c>
      <c r="E317" s="1" t="s">
        <v>15</v>
      </c>
      <c r="F317" s="1">
        <v>4</v>
      </c>
      <c r="G317" s="1">
        <v>499.06</v>
      </c>
      <c r="H317" s="2">
        <v>0.26</v>
      </c>
      <c r="I317" s="1" t="s">
        <v>16</v>
      </c>
      <c r="J317" s="1">
        <v>2.6</v>
      </c>
      <c r="K317" s="23">
        <v>1477.22</v>
      </c>
    </row>
    <row r="318" spans="1:11" x14ac:dyDescent="0.3">
      <c r="A318" s="1">
        <v>10317</v>
      </c>
      <c r="B318" s="3">
        <v>44878</v>
      </c>
      <c r="C318" s="3" t="str">
        <f>TEXT(Table1[[#This Row],[order_date]],"mmmm")</f>
        <v>November</v>
      </c>
      <c r="D318" s="1" t="s">
        <v>10</v>
      </c>
      <c r="E318" s="1" t="s">
        <v>15</v>
      </c>
      <c r="F318" s="1">
        <v>2</v>
      </c>
      <c r="G318" s="1">
        <v>29.43</v>
      </c>
      <c r="H318" s="2">
        <v>0.11</v>
      </c>
      <c r="I318" s="1" t="s">
        <v>14</v>
      </c>
      <c r="J318" s="1">
        <v>4.9000000000000004</v>
      </c>
      <c r="K318" s="23">
        <v>52.39</v>
      </c>
    </row>
    <row r="319" spans="1:11" x14ac:dyDescent="0.3">
      <c r="A319" s="1">
        <v>10318</v>
      </c>
      <c r="B319" s="3">
        <v>44879</v>
      </c>
      <c r="C319" s="3" t="str">
        <f>TEXT(Table1[[#This Row],[order_date]],"mmmm")</f>
        <v>November</v>
      </c>
      <c r="D319" s="1" t="s">
        <v>13</v>
      </c>
      <c r="E319" s="1" t="s">
        <v>19</v>
      </c>
      <c r="F319" s="1">
        <v>2</v>
      </c>
      <c r="G319" s="1">
        <v>410.06</v>
      </c>
      <c r="H319" s="2">
        <v>0.04</v>
      </c>
      <c r="I319" s="1" t="s">
        <v>12</v>
      </c>
      <c r="J319" s="1">
        <v>1.7</v>
      </c>
      <c r="K319" s="23">
        <v>787.32</v>
      </c>
    </row>
    <row r="320" spans="1:11" x14ac:dyDescent="0.3">
      <c r="A320" s="1">
        <v>10319</v>
      </c>
      <c r="B320" s="3">
        <v>44880</v>
      </c>
      <c r="C320" s="3" t="str">
        <f>TEXT(Table1[[#This Row],[order_date]],"mmmm")</f>
        <v>November</v>
      </c>
      <c r="D320" s="1" t="s">
        <v>13</v>
      </c>
      <c r="E320" s="1" t="s">
        <v>15</v>
      </c>
      <c r="F320" s="1">
        <v>4</v>
      </c>
      <c r="G320" s="1">
        <v>560.51</v>
      </c>
      <c r="H320" s="2">
        <v>0.25</v>
      </c>
      <c r="I320" s="1" t="s">
        <v>14</v>
      </c>
      <c r="J320" s="1">
        <v>3.5</v>
      </c>
      <c r="K320" s="23">
        <v>1681.53</v>
      </c>
    </row>
    <row r="321" spans="1:11" x14ac:dyDescent="0.3">
      <c r="A321" s="1">
        <v>10320</v>
      </c>
      <c r="B321" s="3">
        <v>44881</v>
      </c>
      <c r="C321" s="3" t="str">
        <f>TEXT(Table1[[#This Row],[order_date]],"mmmm")</f>
        <v>November</v>
      </c>
      <c r="D321" s="1" t="s">
        <v>20</v>
      </c>
      <c r="E321" s="1" t="s">
        <v>15</v>
      </c>
      <c r="F321" s="1">
        <v>1</v>
      </c>
      <c r="G321" s="1">
        <v>153.6</v>
      </c>
      <c r="H321" s="2">
        <v>0.1</v>
      </c>
      <c r="I321" s="1" t="s">
        <v>16</v>
      </c>
      <c r="J321" s="1">
        <v>1.8</v>
      </c>
      <c r="K321" s="23">
        <v>138.24</v>
      </c>
    </row>
    <row r="322" spans="1:11" x14ac:dyDescent="0.3">
      <c r="A322" s="1">
        <v>10321</v>
      </c>
      <c r="B322" s="3">
        <v>44882</v>
      </c>
      <c r="C322" s="3" t="str">
        <f>TEXT(Table1[[#This Row],[order_date]],"mmmm")</f>
        <v>November</v>
      </c>
      <c r="D322" s="1" t="s">
        <v>20</v>
      </c>
      <c r="E322" s="1" t="s">
        <v>15</v>
      </c>
      <c r="F322" s="1">
        <v>2</v>
      </c>
      <c r="G322" s="1">
        <v>420.78</v>
      </c>
      <c r="H322" s="2">
        <v>0.06</v>
      </c>
      <c r="I322" s="1" t="s">
        <v>16</v>
      </c>
      <c r="J322" s="1">
        <v>3.2</v>
      </c>
      <c r="K322" s="23">
        <v>791.07</v>
      </c>
    </row>
    <row r="323" spans="1:11" x14ac:dyDescent="0.3">
      <c r="A323" s="1">
        <v>10322</v>
      </c>
      <c r="B323" s="3">
        <v>44883</v>
      </c>
      <c r="C323" s="3" t="str">
        <f>TEXT(Table1[[#This Row],[order_date]],"mmmm")</f>
        <v>November</v>
      </c>
      <c r="D323" s="1" t="s">
        <v>17</v>
      </c>
      <c r="E323" s="1" t="s">
        <v>18</v>
      </c>
      <c r="F323" s="1">
        <v>7</v>
      </c>
      <c r="G323" s="1">
        <v>585.42999999999995</v>
      </c>
      <c r="H323" s="2">
        <v>0.05</v>
      </c>
      <c r="I323" s="1" t="s">
        <v>14</v>
      </c>
      <c r="J323" s="1">
        <v>3.2</v>
      </c>
      <c r="K323" s="23">
        <v>3893.11</v>
      </c>
    </row>
    <row r="324" spans="1:11" x14ac:dyDescent="0.3">
      <c r="A324" s="1">
        <v>10323</v>
      </c>
      <c r="B324" s="3">
        <v>44884</v>
      </c>
      <c r="C324" s="3" t="str">
        <f>TEXT(Table1[[#This Row],[order_date]],"mmmm")</f>
        <v>November</v>
      </c>
      <c r="D324" s="1" t="s">
        <v>20</v>
      </c>
      <c r="E324" s="1" t="s">
        <v>18</v>
      </c>
      <c r="F324" s="1">
        <v>6</v>
      </c>
      <c r="G324" s="1">
        <v>577.92999999999995</v>
      </c>
      <c r="H324" s="2">
        <v>0.11</v>
      </c>
      <c r="I324" s="1" t="s">
        <v>16</v>
      </c>
      <c r="J324" s="1">
        <v>1.3</v>
      </c>
      <c r="K324" s="23">
        <v>3086.15</v>
      </c>
    </row>
    <row r="325" spans="1:11" x14ac:dyDescent="0.3">
      <c r="A325" s="1">
        <v>10324</v>
      </c>
      <c r="B325" s="3">
        <v>44885</v>
      </c>
      <c r="C325" s="3" t="str">
        <f>TEXT(Table1[[#This Row],[order_date]],"mmmm")</f>
        <v>November</v>
      </c>
      <c r="D325" s="1" t="s">
        <v>20</v>
      </c>
      <c r="E325" s="1" t="s">
        <v>11</v>
      </c>
      <c r="F325" s="1">
        <v>6</v>
      </c>
      <c r="G325" s="1">
        <v>152.43</v>
      </c>
      <c r="H325" s="2">
        <v>0.21</v>
      </c>
      <c r="I325" s="1" t="s">
        <v>16</v>
      </c>
      <c r="J325" s="1">
        <v>2.8</v>
      </c>
      <c r="K325" s="23">
        <v>722.52</v>
      </c>
    </row>
    <row r="326" spans="1:11" x14ac:dyDescent="0.3">
      <c r="A326" s="1">
        <v>10325</v>
      </c>
      <c r="B326" s="3">
        <v>44886</v>
      </c>
      <c r="C326" s="3" t="str">
        <f>TEXT(Table1[[#This Row],[order_date]],"mmmm")</f>
        <v>November</v>
      </c>
      <c r="D326" s="1" t="s">
        <v>20</v>
      </c>
      <c r="E326" s="1" t="s">
        <v>18</v>
      </c>
      <c r="F326" s="1">
        <v>6</v>
      </c>
      <c r="G326" s="1">
        <v>73.69</v>
      </c>
      <c r="H326" s="2">
        <v>0.13</v>
      </c>
      <c r="I326" s="1" t="s">
        <v>14</v>
      </c>
      <c r="J326" s="1">
        <v>2.8</v>
      </c>
      <c r="K326" s="23">
        <v>384.66</v>
      </c>
    </row>
    <row r="327" spans="1:11" x14ac:dyDescent="0.3">
      <c r="A327" s="1">
        <v>10326</v>
      </c>
      <c r="B327" s="3">
        <v>44887</v>
      </c>
      <c r="C327" s="3" t="str">
        <f>TEXT(Table1[[#This Row],[order_date]],"mmmm")</f>
        <v>November</v>
      </c>
      <c r="D327" s="1" t="s">
        <v>17</v>
      </c>
      <c r="E327" s="1" t="s">
        <v>15</v>
      </c>
      <c r="F327" s="1">
        <v>3</v>
      </c>
      <c r="G327" s="1">
        <v>101.75</v>
      </c>
      <c r="H327" s="2">
        <v>0.01</v>
      </c>
      <c r="I327" s="1" t="s">
        <v>16</v>
      </c>
      <c r="J327" s="1">
        <v>2.2999999999999998</v>
      </c>
      <c r="K327" s="23">
        <v>302.2</v>
      </c>
    </row>
    <row r="328" spans="1:11" x14ac:dyDescent="0.3">
      <c r="A328" s="1">
        <v>10327</v>
      </c>
      <c r="B328" s="3">
        <v>44888</v>
      </c>
      <c r="C328" s="3" t="str">
        <f>TEXT(Table1[[#This Row],[order_date]],"mmmm")</f>
        <v>November</v>
      </c>
      <c r="D328" s="1" t="s">
        <v>10</v>
      </c>
      <c r="E328" s="1" t="s">
        <v>18</v>
      </c>
      <c r="F328" s="1">
        <v>7</v>
      </c>
      <c r="G328" s="1">
        <v>425.69</v>
      </c>
      <c r="H328" s="2">
        <v>0.03</v>
      </c>
      <c r="I328" s="1" t="s">
        <v>12</v>
      </c>
      <c r="J328" s="1">
        <v>2.1</v>
      </c>
      <c r="K328" s="23">
        <v>2890.44</v>
      </c>
    </row>
    <row r="329" spans="1:11" x14ac:dyDescent="0.3">
      <c r="A329" s="1">
        <v>10328</v>
      </c>
      <c r="B329" s="3">
        <v>44889</v>
      </c>
      <c r="C329" s="3" t="str">
        <f>TEXT(Table1[[#This Row],[order_date]],"mmmm")</f>
        <v>November</v>
      </c>
      <c r="D329" s="1" t="s">
        <v>13</v>
      </c>
      <c r="E329" s="1" t="s">
        <v>19</v>
      </c>
      <c r="F329" s="1">
        <v>3</v>
      </c>
      <c r="G329" s="1">
        <v>439.57</v>
      </c>
      <c r="H329" s="2">
        <v>0.1</v>
      </c>
      <c r="I329" s="1" t="s">
        <v>16</v>
      </c>
      <c r="J329" s="1">
        <v>1.9</v>
      </c>
      <c r="K329" s="23">
        <v>1186.8399999999999</v>
      </c>
    </row>
    <row r="330" spans="1:11" x14ac:dyDescent="0.3">
      <c r="A330" s="1">
        <v>10329</v>
      </c>
      <c r="B330" s="3">
        <v>44890</v>
      </c>
      <c r="C330" s="3" t="str">
        <f>TEXT(Table1[[#This Row],[order_date]],"mmmm")</f>
        <v>November</v>
      </c>
      <c r="D330" s="1" t="s">
        <v>17</v>
      </c>
      <c r="E330" s="1" t="s">
        <v>11</v>
      </c>
      <c r="F330" s="1">
        <v>1</v>
      </c>
      <c r="G330" s="1">
        <v>409.43</v>
      </c>
      <c r="H330" s="2">
        <v>0.23</v>
      </c>
      <c r="I330" s="1" t="s">
        <v>12</v>
      </c>
      <c r="J330" s="1">
        <v>1</v>
      </c>
      <c r="K330" s="23">
        <v>315.26</v>
      </c>
    </row>
    <row r="331" spans="1:11" x14ac:dyDescent="0.3">
      <c r="A331" s="1">
        <v>10330</v>
      </c>
      <c r="B331" s="3">
        <v>44891</v>
      </c>
      <c r="C331" s="3" t="str">
        <f>TEXT(Table1[[#This Row],[order_date]],"mmmm")</f>
        <v>November</v>
      </c>
      <c r="D331" s="1" t="s">
        <v>13</v>
      </c>
      <c r="E331" s="1" t="s">
        <v>11</v>
      </c>
      <c r="F331" s="1">
        <v>4</v>
      </c>
      <c r="G331" s="1">
        <v>211.61</v>
      </c>
      <c r="H331" s="2">
        <v>0.03</v>
      </c>
      <c r="I331" s="1" t="s">
        <v>14</v>
      </c>
      <c r="J331" s="1">
        <v>1</v>
      </c>
      <c r="K331" s="23">
        <v>821.05</v>
      </c>
    </row>
    <row r="332" spans="1:11" x14ac:dyDescent="0.3">
      <c r="A332" s="1">
        <v>10331</v>
      </c>
      <c r="B332" s="3">
        <v>44892</v>
      </c>
      <c r="C332" s="3" t="str">
        <f>TEXT(Table1[[#This Row],[order_date]],"mmmm")</f>
        <v>November</v>
      </c>
      <c r="D332" s="1" t="s">
        <v>17</v>
      </c>
      <c r="E332" s="1" t="s">
        <v>18</v>
      </c>
      <c r="F332" s="1">
        <v>5</v>
      </c>
      <c r="G332" s="1">
        <v>114.32</v>
      </c>
      <c r="H332" s="2">
        <v>0.2</v>
      </c>
      <c r="I332" s="1" t="s">
        <v>16</v>
      </c>
      <c r="J332" s="1">
        <v>3.4</v>
      </c>
      <c r="K332" s="23">
        <v>457.28</v>
      </c>
    </row>
    <row r="333" spans="1:11" x14ac:dyDescent="0.3">
      <c r="A333" s="1">
        <v>10332</v>
      </c>
      <c r="B333" s="3">
        <v>44893</v>
      </c>
      <c r="C333" s="3" t="str">
        <f>TEXT(Table1[[#This Row],[order_date]],"mmmm")</f>
        <v>November</v>
      </c>
      <c r="D333" s="1" t="s">
        <v>17</v>
      </c>
      <c r="E333" s="1" t="s">
        <v>15</v>
      </c>
      <c r="F333" s="1">
        <v>7</v>
      </c>
      <c r="G333" s="1">
        <v>354.75</v>
      </c>
      <c r="H333" s="2">
        <v>0.04</v>
      </c>
      <c r="I333" s="1" t="s">
        <v>12</v>
      </c>
      <c r="J333" s="1">
        <v>2.2000000000000002</v>
      </c>
      <c r="K333" s="23">
        <v>2383.92</v>
      </c>
    </row>
    <row r="334" spans="1:11" x14ac:dyDescent="0.3">
      <c r="A334" s="1">
        <v>10333</v>
      </c>
      <c r="B334" s="3">
        <v>44894</v>
      </c>
      <c r="C334" s="3" t="str">
        <f>TEXT(Table1[[#This Row],[order_date]],"mmmm")</f>
        <v>November</v>
      </c>
      <c r="D334" s="1" t="s">
        <v>20</v>
      </c>
      <c r="E334" s="1" t="s">
        <v>11</v>
      </c>
      <c r="F334" s="1">
        <v>1</v>
      </c>
      <c r="G334" s="1">
        <v>297.95</v>
      </c>
      <c r="H334" s="2">
        <v>7.0000000000000007E-2</v>
      </c>
      <c r="I334" s="1" t="s">
        <v>14</v>
      </c>
      <c r="J334" s="1">
        <v>1.7</v>
      </c>
      <c r="K334" s="23">
        <v>277.08999999999997</v>
      </c>
    </row>
    <row r="335" spans="1:11" x14ac:dyDescent="0.3">
      <c r="A335" s="1">
        <v>10334</v>
      </c>
      <c r="B335" s="3">
        <v>44895</v>
      </c>
      <c r="C335" s="3" t="str">
        <f>TEXT(Table1[[#This Row],[order_date]],"mmmm")</f>
        <v>November</v>
      </c>
      <c r="D335" s="1" t="s">
        <v>17</v>
      </c>
      <c r="E335" s="1" t="s">
        <v>19</v>
      </c>
      <c r="F335" s="1">
        <v>5</v>
      </c>
      <c r="G335" s="1">
        <v>441.37</v>
      </c>
      <c r="H335" s="2">
        <v>0.06</v>
      </c>
      <c r="I335" s="1" t="s">
        <v>12</v>
      </c>
      <c r="J335" s="1">
        <v>3.7</v>
      </c>
      <c r="K335" s="23">
        <v>2074.44</v>
      </c>
    </row>
    <row r="336" spans="1:11" x14ac:dyDescent="0.3">
      <c r="A336" s="1">
        <v>10335</v>
      </c>
      <c r="B336" s="3">
        <v>44896</v>
      </c>
      <c r="C336" s="3" t="str">
        <f>TEXT(Table1[[#This Row],[order_date]],"mmmm")</f>
        <v>December</v>
      </c>
      <c r="D336" s="1" t="s">
        <v>13</v>
      </c>
      <c r="E336" s="1" t="s">
        <v>19</v>
      </c>
      <c r="F336" s="1">
        <v>1</v>
      </c>
      <c r="G336" s="1">
        <v>273.2</v>
      </c>
      <c r="H336" s="2">
        <v>0.02</v>
      </c>
      <c r="I336" s="1" t="s">
        <v>14</v>
      </c>
      <c r="J336" s="1">
        <v>3.1</v>
      </c>
      <c r="K336" s="23">
        <v>267.74</v>
      </c>
    </row>
    <row r="337" spans="1:11" x14ac:dyDescent="0.3">
      <c r="A337" s="1">
        <v>10336</v>
      </c>
      <c r="B337" s="3">
        <v>44897</v>
      </c>
      <c r="C337" s="3" t="str">
        <f>TEXT(Table1[[#This Row],[order_date]],"mmmm")</f>
        <v>December</v>
      </c>
      <c r="D337" s="1" t="s">
        <v>13</v>
      </c>
      <c r="E337" s="1" t="s">
        <v>11</v>
      </c>
      <c r="F337" s="1">
        <v>3</v>
      </c>
      <c r="G337" s="1">
        <v>213.1</v>
      </c>
      <c r="H337" s="2">
        <v>0.23</v>
      </c>
      <c r="I337" s="1" t="s">
        <v>12</v>
      </c>
      <c r="J337" s="1">
        <v>4.7</v>
      </c>
      <c r="K337" s="23">
        <v>492.26</v>
      </c>
    </row>
    <row r="338" spans="1:11" x14ac:dyDescent="0.3">
      <c r="A338" s="1">
        <v>10337</v>
      </c>
      <c r="B338" s="3">
        <v>44898</v>
      </c>
      <c r="C338" s="3" t="str">
        <f>TEXT(Table1[[#This Row],[order_date]],"mmmm")</f>
        <v>December</v>
      </c>
      <c r="D338" s="1" t="s">
        <v>17</v>
      </c>
      <c r="E338" s="1" t="s">
        <v>15</v>
      </c>
      <c r="F338" s="1">
        <v>6</v>
      </c>
      <c r="G338" s="1">
        <v>186.68</v>
      </c>
      <c r="H338" s="2">
        <v>0.16</v>
      </c>
      <c r="I338" s="1" t="s">
        <v>14</v>
      </c>
      <c r="J338" s="1">
        <v>4.3</v>
      </c>
      <c r="K338" s="23">
        <v>940.87</v>
      </c>
    </row>
    <row r="339" spans="1:11" x14ac:dyDescent="0.3">
      <c r="A339" s="1">
        <v>10338</v>
      </c>
      <c r="B339" s="3">
        <v>44899</v>
      </c>
      <c r="C339" s="3" t="str">
        <f>TEXT(Table1[[#This Row],[order_date]],"mmmm")</f>
        <v>December</v>
      </c>
      <c r="D339" s="1" t="s">
        <v>10</v>
      </c>
      <c r="E339" s="1" t="s">
        <v>15</v>
      </c>
      <c r="F339" s="1">
        <v>4</v>
      </c>
      <c r="G339" s="1">
        <v>138.71</v>
      </c>
      <c r="H339" s="2">
        <v>0.28999999999999998</v>
      </c>
      <c r="I339" s="1" t="s">
        <v>14</v>
      </c>
      <c r="J339" s="1">
        <v>3.9</v>
      </c>
      <c r="K339" s="23">
        <v>393.94</v>
      </c>
    </row>
    <row r="340" spans="1:11" x14ac:dyDescent="0.3">
      <c r="A340" s="1">
        <v>10339</v>
      </c>
      <c r="B340" s="3">
        <v>44900</v>
      </c>
      <c r="C340" s="3" t="str">
        <f>TEXT(Table1[[#This Row],[order_date]],"mmmm")</f>
        <v>December</v>
      </c>
      <c r="D340" s="1" t="s">
        <v>17</v>
      </c>
      <c r="E340" s="1" t="s">
        <v>18</v>
      </c>
      <c r="F340" s="1">
        <v>3</v>
      </c>
      <c r="G340" s="1">
        <v>170.46</v>
      </c>
      <c r="H340" s="2">
        <v>0.03</v>
      </c>
      <c r="I340" s="1" t="s">
        <v>12</v>
      </c>
      <c r="J340" s="1">
        <v>1.5</v>
      </c>
      <c r="K340" s="23">
        <v>496.04</v>
      </c>
    </row>
    <row r="341" spans="1:11" x14ac:dyDescent="0.3">
      <c r="A341" s="1">
        <v>10340</v>
      </c>
      <c r="B341" s="3">
        <v>44901</v>
      </c>
      <c r="C341" s="3" t="str">
        <f>TEXT(Table1[[#This Row],[order_date]],"mmmm")</f>
        <v>December</v>
      </c>
      <c r="D341" s="1" t="s">
        <v>17</v>
      </c>
      <c r="E341" s="1" t="s">
        <v>18</v>
      </c>
      <c r="F341" s="1">
        <v>4</v>
      </c>
      <c r="G341" s="1">
        <v>70.48</v>
      </c>
      <c r="H341" s="2">
        <v>0.05</v>
      </c>
      <c r="I341" s="1" t="s">
        <v>14</v>
      </c>
      <c r="J341" s="1">
        <v>3.7</v>
      </c>
      <c r="K341" s="23">
        <v>267.82</v>
      </c>
    </row>
    <row r="342" spans="1:11" x14ac:dyDescent="0.3">
      <c r="A342" s="1">
        <v>10341</v>
      </c>
      <c r="B342" s="3">
        <v>44902</v>
      </c>
      <c r="C342" s="3" t="str">
        <f>TEXT(Table1[[#This Row],[order_date]],"mmmm")</f>
        <v>December</v>
      </c>
      <c r="D342" s="1" t="s">
        <v>17</v>
      </c>
      <c r="E342" s="1" t="s">
        <v>11</v>
      </c>
      <c r="F342" s="1">
        <v>7</v>
      </c>
      <c r="G342" s="1">
        <v>217.91</v>
      </c>
      <c r="H342" s="2">
        <v>0.11</v>
      </c>
      <c r="I342" s="1" t="s">
        <v>14</v>
      </c>
      <c r="J342" s="1">
        <v>3.8</v>
      </c>
      <c r="K342" s="23">
        <v>1357.58</v>
      </c>
    </row>
    <row r="343" spans="1:11" x14ac:dyDescent="0.3">
      <c r="A343" s="1">
        <v>10342</v>
      </c>
      <c r="B343" s="3">
        <v>44903</v>
      </c>
      <c r="C343" s="3" t="str">
        <f>TEXT(Table1[[#This Row],[order_date]],"mmmm")</f>
        <v>December</v>
      </c>
      <c r="D343" s="1" t="s">
        <v>17</v>
      </c>
      <c r="E343" s="1" t="s">
        <v>18</v>
      </c>
      <c r="F343" s="1">
        <v>5</v>
      </c>
      <c r="G343" s="1">
        <v>36.39</v>
      </c>
      <c r="H343" s="2">
        <v>0.27</v>
      </c>
      <c r="I343" s="1" t="s">
        <v>14</v>
      </c>
      <c r="J343" s="1">
        <v>4.0999999999999996</v>
      </c>
      <c r="K343" s="23">
        <v>132.82</v>
      </c>
    </row>
    <row r="344" spans="1:11" x14ac:dyDescent="0.3">
      <c r="A344" s="1">
        <v>10343</v>
      </c>
      <c r="B344" s="3">
        <v>44904</v>
      </c>
      <c r="C344" s="3" t="str">
        <f>TEXT(Table1[[#This Row],[order_date]],"mmmm")</f>
        <v>December</v>
      </c>
      <c r="D344" s="1" t="s">
        <v>17</v>
      </c>
      <c r="E344" s="1" t="s">
        <v>18</v>
      </c>
      <c r="F344" s="1">
        <v>1</v>
      </c>
      <c r="G344" s="1">
        <v>124.05</v>
      </c>
      <c r="H344" s="2">
        <v>0.11</v>
      </c>
      <c r="I344" s="1" t="s">
        <v>16</v>
      </c>
      <c r="J344" s="1">
        <v>2.1</v>
      </c>
      <c r="K344" s="23">
        <v>110.4</v>
      </c>
    </row>
    <row r="345" spans="1:11" x14ac:dyDescent="0.3">
      <c r="A345" s="1">
        <v>10344</v>
      </c>
      <c r="B345" s="3">
        <v>44905</v>
      </c>
      <c r="C345" s="3" t="str">
        <f>TEXT(Table1[[#This Row],[order_date]],"mmmm")</f>
        <v>December</v>
      </c>
      <c r="D345" s="1" t="s">
        <v>20</v>
      </c>
      <c r="E345" s="1" t="s">
        <v>18</v>
      </c>
      <c r="F345" s="1">
        <v>2</v>
      </c>
      <c r="G345" s="1">
        <v>451.86</v>
      </c>
      <c r="H345" s="2">
        <v>0.14000000000000001</v>
      </c>
      <c r="I345" s="1" t="s">
        <v>12</v>
      </c>
      <c r="J345" s="1">
        <v>3.6</v>
      </c>
      <c r="K345" s="23">
        <v>777.2</v>
      </c>
    </row>
    <row r="346" spans="1:11" x14ac:dyDescent="0.3">
      <c r="A346" s="1">
        <v>10345</v>
      </c>
      <c r="B346" s="3">
        <v>44906</v>
      </c>
      <c r="C346" s="3" t="str">
        <f>TEXT(Table1[[#This Row],[order_date]],"mmmm")</f>
        <v>December</v>
      </c>
      <c r="D346" s="1" t="s">
        <v>10</v>
      </c>
      <c r="E346" s="1" t="s">
        <v>19</v>
      </c>
      <c r="F346" s="1">
        <v>2</v>
      </c>
      <c r="G346" s="1">
        <v>205.4</v>
      </c>
      <c r="H346" s="2">
        <v>0.11</v>
      </c>
      <c r="I346" s="1" t="s">
        <v>14</v>
      </c>
      <c r="J346" s="1">
        <v>3.5</v>
      </c>
      <c r="K346" s="23">
        <v>365.61</v>
      </c>
    </row>
    <row r="347" spans="1:11" x14ac:dyDescent="0.3">
      <c r="A347" s="1">
        <v>10346</v>
      </c>
      <c r="B347" s="3">
        <v>44907</v>
      </c>
      <c r="C347" s="3" t="str">
        <f>TEXT(Table1[[#This Row],[order_date]],"mmmm")</f>
        <v>December</v>
      </c>
      <c r="D347" s="1" t="s">
        <v>17</v>
      </c>
      <c r="E347" s="1" t="s">
        <v>18</v>
      </c>
      <c r="F347" s="1">
        <v>4</v>
      </c>
      <c r="G347" s="1">
        <v>405.92</v>
      </c>
      <c r="H347" s="2">
        <v>0.03</v>
      </c>
      <c r="I347" s="1" t="s">
        <v>16</v>
      </c>
      <c r="J347" s="1">
        <v>2.5</v>
      </c>
      <c r="K347" s="23">
        <v>1574.97</v>
      </c>
    </row>
    <row r="348" spans="1:11" x14ac:dyDescent="0.3">
      <c r="A348" s="1">
        <v>10347</v>
      </c>
      <c r="B348" s="3">
        <v>44908</v>
      </c>
      <c r="C348" s="3" t="str">
        <f>TEXT(Table1[[#This Row],[order_date]],"mmmm")</f>
        <v>December</v>
      </c>
      <c r="D348" s="1" t="s">
        <v>20</v>
      </c>
      <c r="E348" s="1" t="s">
        <v>11</v>
      </c>
      <c r="F348" s="1">
        <v>6</v>
      </c>
      <c r="G348" s="1">
        <v>434.38</v>
      </c>
      <c r="H348" s="2">
        <v>0.33</v>
      </c>
      <c r="I348" s="1" t="s">
        <v>14</v>
      </c>
      <c r="J348" s="1">
        <v>3.7</v>
      </c>
      <c r="K348" s="23">
        <v>1746.21</v>
      </c>
    </row>
    <row r="349" spans="1:11" x14ac:dyDescent="0.3">
      <c r="A349" s="1">
        <v>10348</v>
      </c>
      <c r="B349" s="3">
        <v>44909</v>
      </c>
      <c r="C349" s="3" t="str">
        <f>TEXT(Table1[[#This Row],[order_date]],"mmmm")</f>
        <v>December</v>
      </c>
      <c r="D349" s="1" t="s">
        <v>20</v>
      </c>
      <c r="E349" s="1" t="s">
        <v>15</v>
      </c>
      <c r="F349" s="1">
        <v>6</v>
      </c>
      <c r="G349" s="1">
        <v>354.99</v>
      </c>
      <c r="H349" s="2">
        <v>0.19</v>
      </c>
      <c r="I349" s="1" t="s">
        <v>16</v>
      </c>
      <c r="J349" s="1">
        <v>1.3</v>
      </c>
      <c r="K349" s="23">
        <v>1725.25</v>
      </c>
    </row>
    <row r="350" spans="1:11" x14ac:dyDescent="0.3">
      <c r="A350" s="1">
        <v>10349</v>
      </c>
      <c r="B350" s="3">
        <v>44910</v>
      </c>
      <c r="C350" s="3" t="str">
        <f>TEXT(Table1[[#This Row],[order_date]],"mmmm")</f>
        <v>December</v>
      </c>
      <c r="D350" s="1" t="s">
        <v>20</v>
      </c>
      <c r="E350" s="1" t="s">
        <v>18</v>
      </c>
      <c r="F350" s="1">
        <v>4</v>
      </c>
      <c r="G350" s="1">
        <v>575.84</v>
      </c>
      <c r="H350" s="2">
        <v>0.28000000000000003</v>
      </c>
      <c r="I350" s="1" t="s">
        <v>14</v>
      </c>
      <c r="J350" s="1">
        <v>3.6</v>
      </c>
      <c r="K350" s="23">
        <v>1658.42</v>
      </c>
    </row>
    <row r="351" spans="1:11" x14ac:dyDescent="0.3">
      <c r="A351" s="1">
        <v>10350</v>
      </c>
      <c r="B351" s="3">
        <v>44911</v>
      </c>
      <c r="C351" s="3" t="str">
        <f>TEXT(Table1[[#This Row],[order_date]],"mmmm")</f>
        <v>December</v>
      </c>
      <c r="D351" s="1" t="s">
        <v>13</v>
      </c>
      <c r="E351" s="1" t="s">
        <v>15</v>
      </c>
      <c r="F351" s="1">
        <v>3</v>
      </c>
      <c r="G351" s="1">
        <v>27.54</v>
      </c>
      <c r="H351" s="2">
        <v>0.23</v>
      </c>
      <c r="I351" s="1" t="s">
        <v>14</v>
      </c>
      <c r="J351" s="1">
        <v>3.4</v>
      </c>
      <c r="K351" s="23">
        <v>63.62</v>
      </c>
    </row>
    <row r="352" spans="1:11" x14ac:dyDescent="0.3">
      <c r="A352" s="1">
        <v>10351</v>
      </c>
      <c r="B352" s="3">
        <v>44912</v>
      </c>
      <c r="C352" s="3" t="str">
        <f>TEXT(Table1[[#This Row],[order_date]],"mmmm")</f>
        <v>December</v>
      </c>
      <c r="D352" s="1" t="s">
        <v>17</v>
      </c>
      <c r="E352" s="1" t="s">
        <v>18</v>
      </c>
      <c r="F352" s="1">
        <v>2</v>
      </c>
      <c r="G352" s="1">
        <v>447.11</v>
      </c>
      <c r="H352" s="2">
        <v>0.18</v>
      </c>
      <c r="I352" s="1" t="s">
        <v>14</v>
      </c>
      <c r="J352" s="1">
        <v>1.8</v>
      </c>
      <c r="K352" s="23">
        <v>733.26</v>
      </c>
    </row>
    <row r="353" spans="1:11" x14ac:dyDescent="0.3">
      <c r="A353" s="1">
        <v>10352</v>
      </c>
      <c r="B353" s="3">
        <v>44913</v>
      </c>
      <c r="C353" s="3" t="str">
        <f>TEXT(Table1[[#This Row],[order_date]],"mmmm")</f>
        <v>December</v>
      </c>
      <c r="D353" s="1" t="s">
        <v>17</v>
      </c>
      <c r="E353" s="1" t="s">
        <v>11</v>
      </c>
      <c r="F353" s="1">
        <v>3</v>
      </c>
      <c r="G353" s="1">
        <v>575.89</v>
      </c>
      <c r="H353" s="2">
        <v>0.03</v>
      </c>
      <c r="I353" s="1" t="s">
        <v>16</v>
      </c>
      <c r="J353" s="1">
        <v>4.3</v>
      </c>
      <c r="K353" s="23">
        <v>1675.84</v>
      </c>
    </row>
    <row r="354" spans="1:11" x14ac:dyDescent="0.3">
      <c r="A354" s="1">
        <v>10353</v>
      </c>
      <c r="B354" s="3">
        <v>44914</v>
      </c>
      <c r="C354" s="3" t="str">
        <f>TEXT(Table1[[#This Row],[order_date]],"mmmm")</f>
        <v>December</v>
      </c>
      <c r="D354" s="1" t="s">
        <v>20</v>
      </c>
      <c r="E354" s="1" t="s">
        <v>19</v>
      </c>
      <c r="F354" s="1">
        <v>5</v>
      </c>
      <c r="G354" s="1">
        <v>519.42999999999995</v>
      </c>
      <c r="H354" s="2">
        <v>0.22</v>
      </c>
      <c r="I354" s="1" t="s">
        <v>12</v>
      </c>
      <c r="J354" s="1">
        <v>4.5</v>
      </c>
      <c r="K354" s="23">
        <v>2025.78</v>
      </c>
    </row>
    <row r="355" spans="1:11" x14ac:dyDescent="0.3">
      <c r="A355" s="1">
        <v>10354</v>
      </c>
      <c r="B355" s="3">
        <v>44915</v>
      </c>
      <c r="C355" s="3" t="str">
        <f>TEXT(Table1[[#This Row],[order_date]],"mmmm")</f>
        <v>December</v>
      </c>
      <c r="D355" s="1" t="s">
        <v>20</v>
      </c>
      <c r="E355" s="1" t="s">
        <v>11</v>
      </c>
      <c r="F355" s="1">
        <v>2</v>
      </c>
      <c r="G355" s="1">
        <v>113.22</v>
      </c>
      <c r="H355" s="2">
        <v>0.05</v>
      </c>
      <c r="I355" s="1" t="s">
        <v>16</v>
      </c>
      <c r="J355" s="1">
        <v>1.8</v>
      </c>
      <c r="K355" s="23">
        <v>215.12</v>
      </c>
    </row>
    <row r="356" spans="1:11" x14ac:dyDescent="0.3">
      <c r="A356" s="1">
        <v>10355</v>
      </c>
      <c r="B356" s="3">
        <v>44916</v>
      </c>
      <c r="C356" s="3" t="str">
        <f>TEXT(Table1[[#This Row],[order_date]],"mmmm")</f>
        <v>December</v>
      </c>
      <c r="D356" s="1" t="s">
        <v>17</v>
      </c>
      <c r="E356" s="1" t="s">
        <v>19</v>
      </c>
      <c r="F356" s="1">
        <v>5</v>
      </c>
      <c r="G356" s="1">
        <v>206.19</v>
      </c>
      <c r="H356" s="2">
        <v>0.15</v>
      </c>
      <c r="I356" s="1" t="s">
        <v>14</v>
      </c>
      <c r="J356" s="1">
        <v>1.3</v>
      </c>
      <c r="K356" s="23">
        <v>876.31</v>
      </c>
    </row>
    <row r="357" spans="1:11" x14ac:dyDescent="0.3">
      <c r="A357" s="1">
        <v>10356</v>
      </c>
      <c r="B357" s="3">
        <v>44917</v>
      </c>
      <c r="C357" s="3" t="str">
        <f>TEXT(Table1[[#This Row],[order_date]],"mmmm")</f>
        <v>December</v>
      </c>
      <c r="D357" s="1" t="s">
        <v>13</v>
      </c>
      <c r="E357" s="1" t="s">
        <v>18</v>
      </c>
      <c r="F357" s="1">
        <v>1</v>
      </c>
      <c r="G357" s="1">
        <v>115.88</v>
      </c>
      <c r="H357" s="2">
        <v>0.22</v>
      </c>
      <c r="I357" s="1" t="s">
        <v>16</v>
      </c>
      <c r="J357" s="1">
        <v>3.4</v>
      </c>
      <c r="K357" s="23">
        <v>90.39</v>
      </c>
    </row>
    <row r="358" spans="1:11" x14ac:dyDescent="0.3">
      <c r="A358" s="1">
        <v>10357</v>
      </c>
      <c r="B358" s="3">
        <v>44918</v>
      </c>
      <c r="C358" s="3" t="str">
        <f>TEXT(Table1[[#This Row],[order_date]],"mmmm")</f>
        <v>December</v>
      </c>
      <c r="D358" s="1" t="s">
        <v>10</v>
      </c>
      <c r="E358" s="1" t="s">
        <v>18</v>
      </c>
      <c r="F358" s="1">
        <v>3</v>
      </c>
      <c r="G358" s="1">
        <v>366.77</v>
      </c>
      <c r="H358" s="2">
        <v>0.27</v>
      </c>
      <c r="I358" s="1" t="s">
        <v>16</v>
      </c>
      <c r="J358" s="1">
        <v>2.9</v>
      </c>
      <c r="K358" s="23">
        <v>803.23</v>
      </c>
    </row>
    <row r="359" spans="1:11" x14ac:dyDescent="0.3">
      <c r="A359" s="1">
        <v>10358</v>
      </c>
      <c r="B359" s="3">
        <v>44919</v>
      </c>
      <c r="C359" s="3" t="str">
        <f>TEXT(Table1[[#This Row],[order_date]],"mmmm")</f>
        <v>December</v>
      </c>
      <c r="D359" s="1" t="s">
        <v>20</v>
      </c>
      <c r="E359" s="1" t="s">
        <v>19</v>
      </c>
      <c r="F359" s="1">
        <v>4</v>
      </c>
      <c r="G359" s="1">
        <v>431.63</v>
      </c>
      <c r="H359" s="2">
        <v>0.24</v>
      </c>
      <c r="I359" s="1" t="s">
        <v>14</v>
      </c>
      <c r="J359" s="1">
        <v>2.7</v>
      </c>
      <c r="K359" s="23">
        <v>1312.16</v>
      </c>
    </row>
    <row r="360" spans="1:11" x14ac:dyDescent="0.3">
      <c r="A360" s="1">
        <v>10359</v>
      </c>
      <c r="B360" s="3">
        <v>44920</v>
      </c>
      <c r="C360" s="3" t="str">
        <f>TEXT(Table1[[#This Row],[order_date]],"mmmm")</f>
        <v>December</v>
      </c>
      <c r="D360" s="1" t="s">
        <v>10</v>
      </c>
      <c r="E360" s="1" t="s">
        <v>11</v>
      </c>
      <c r="F360" s="1">
        <v>2</v>
      </c>
      <c r="G360" s="1">
        <v>200.49</v>
      </c>
      <c r="H360" s="2">
        <v>0.24</v>
      </c>
      <c r="I360" s="1" t="s">
        <v>14</v>
      </c>
      <c r="J360" s="1">
        <v>4</v>
      </c>
      <c r="K360" s="23">
        <v>304.74</v>
      </c>
    </row>
    <row r="361" spans="1:11" x14ac:dyDescent="0.3">
      <c r="A361" s="1">
        <v>10360</v>
      </c>
      <c r="B361" s="3">
        <v>44921</v>
      </c>
      <c r="C361" s="3" t="str">
        <f>TEXT(Table1[[#This Row],[order_date]],"mmmm")</f>
        <v>December</v>
      </c>
      <c r="D361" s="1" t="s">
        <v>20</v>
      </c>
      <c r="E361" s="1" t="s">
        <v>11</v>
      </c>
      <c r="F361" s="1">
        <v>3</v>
      </c>
      <c r="G361" s="1">
        <v>330.61</v>
      </c>
      <c r="H361" s="2">
        <v>0.05</v>
      </c>
      <c r="I361" s="1" t="s">
        <v>14</v>
      </c>
      <c r="J361" s="1">
        <v>4.9000000000000004</v>
      </c>
      <c r="K361" s="23">
        <v>942.24</v>
      </c>
    </row>
    <row r="362" spans="1:11" x14ac:dyDescent="0.3">
      <c r="A362" s="1">
        <v>10361</v>
      </c>
      <c r="B362" s="3">
        <v>44922</v>
      </c>
      <c r="C362" s="3" t="str">
        <f>TEXT(Table1[[#This Row],[order_date]],"mmmm")</f>
        <v>December</v>
      </c>
      <c r="D362" s="1" t="s">
        <v>13</v>
      </c>
      <c r="E362" s="1" t="s">
        <v>19</v>
      </c>
      <c r="F362" s="1">
        <v>4</v>
      </c>
      <c r="G362" s="1">
        <v>419.19</v>
      </c>
      <c r="H362" s="2">
        <v>0.12</v>
      </c>
      <c r="I362" s="1" t="s">
        <v>16</v>
      </c>
      <c r="J362" s="1">
        <v>2.9</v>
      </c>
      <c r="K362" s="23">
        <v>1475.55</v>
      </c>
    </row>
    <row r="363" spans="1:11" x14ac:dyDescent="0.3">
      <c r="A363" s="1">
        <v>10362</v>
      </c>
      <c r="B363" s="3">
        <v>44923</v>
      </c>
      <c r="C363" s="3" t="str">
        <f>TEXT(Table1[[#This Row],[order_date]],"mmmm")</f>
        <v>December</v>
      </c>
      <c r="D363" s="1" t="s">
        <v>13</v>
      </c>
      <c r="E363" s="1" t="s">
        <v>18</v>
      </c>
      <c r="F363" s="1">
        <v>1</v>
      </c>
      <c r="G363" s="1">
        <v>261.48</v>
      </c>
      <c r="H363" s="2">
        <v>0.02</v>
      </c>
      <c r="I363" s="1" t="s">
        <v>16</v>
      </c>
      <c r="J363" s="1">
        <v>1</v>
      </c>
      <c r="K363" s="23">
        <v>256.25</v>
      </c>
    </row>
    <row r="364" spans="1:11" x14ac:dyDescent="0.3">
      <c r="A364" s="1">
        <v>10363</v>
      </c>
      <c r="B364" s="3">
        <v>44924</v>
      </c>
      <c r="C364" s="3" t="str">
        <f>TEXT(Table1[[#This Row],[order_date]],"mmmm")</f>
        <v>December</v>
      </c>
      <c r="D364" s="1" t="s">
        <v>20</v>
      </c>
      <c r="E364" s="1" t="s">
        <v>19</v>
      </c>
      <c r="F364" s="1">
        <v>2</v>
      </c>
      <c r="G364" s="1">
        <v>514.6</v>
      </c>
      <c r="H364" s="2">
        <v>0.25</v>
      </c>
      <c r="I364" s="1" t="s">
        <v>16</v>
      </c>
      <c r="J364" s="1">
        <v>3.4</v>
      </c>
      <c r="K364" s="23">
        <v>771.9</v>
      </c>
    </row>
    <row r="365" spans="1:11" x14ac:dyDescent="0.3">
      <c r="A365" s="1">
        <v>10364</v>
      </c>
      <c r="B365" s="3">
        <v>44925</v>
      </c>
      <c r="C365" s="3" t="str">
        <f>TEXT(Table1[[#This Row],[order_date]],"mmmm")</f>
        <v>December</v>
      </c>
      <c r="D365" s="1" t="s">
        <v>17</v>
      </c>
      <c r="E365" s="1" t="s">
        <v>18</v>
      </c>
      <c r="F365" s="1">
        <v>5</v>
      </c>
      <c r="G365" s="1">
        <v>466.36</v>
      </c>
      <c r="H365" s="2">
        <v>0.33</v>
      </c>
      <c r="I365" s="1" t="s">
        <v>14</v>
      </c>
      <c r="J365" s="1">
        <v>3.6</v>
      </c>
      <c r="K365" s="23">
        <v>1562.31</v>
      </c>
    </row>
    <row r="366" spans="1:11" x14ac:dyDescent="0.3">
      <c r="A366" s="1">
        <v>10365</v>
      </c>
      <c r="B366" s="3">
        <v>44926</v>
      </c>
      <c r="C366" s="3" t="str">
        <f>TEXT(Table1[[#This Row],[order_date]],"mmmm")</f>
        <v>December</v>
      </c>
      <c r="D366" s="1" t="s">
        <v>13</v>
      </c>
      <c r="E366" s="1" t="s">
        <v>19</v>
      </c>
      <c r="F366" s="1">
        <v>1</v>
      </c>
      <c r="G366" s="1">
        <v>52.83</v>
      </c>
      <c r="H366" s="2">
        <v>0.09</v>
      </c>
      <c r="I366" s="1" t="s">
        <v>14</v>
      </c>
      <c r="J366" s="1">
        <v>4.3</v>
      </c>
      <c r="K366" s="23">
        <v>48.08</v>
      </c>
    </row>
    <row r="367" spans="1:11" x14ac:dyDescent="0.3">
      <c r="A367" s="1">
        <v>10366</v>
      </c>
      <c r="B367" s="3">
        <v>44927</v>
      </c>
      <c r="C367" s="3" t="str">
        <f>TEXT(Table1[[#This Row],[order_date]],"mmmm")</f>
        <v>January</v>
      </c>
      <c r="D367" s="1" t="s">
        <v>20</v>
      </c>
      <c r="E367" s="1" t="s">
        <v>18</v>
      </c>
      <c r="F367" s="1">
        <v>6</v>
      </c>
      <c r="G367" s="1">
        <v>378.36</v>
      </c>
      <c r="H367" s="2">
        <v>0.03</v>
      </c>
      <c r="I367" s="1" t="s">
        <v>12</v>
      </c>
      <c r="J367" s="1">
        <v>1.8</v>
      </c>
      <c r="K367" s="23">
        <v>2202.06</v>
      </c>
    </row>
    <row r="368" spans="1:11" x14ac:dyDescent="0.3">
      <c r="A368" s="1">
        <v>10367</v>
      </c>
      <c r="B368" s="3">
        <v>44928</v>
      </c>
      <c r="C368" s="3" t="str">
        <f>TEXT(Table1[[#This Row],[order_date]],"mmmm")</f>
        <v>January</v>
      </c>
      <c r="D368" s="1" t="s">
        <v>17</v>
      </c>
      <c r="E368" s="1" t="s">
        <v>19</v>
      </c>
      <c r="F368" s="1">
        <v>4</v>
      </c>
      <c r="G368" s="1">
        <v>152.66999999999999</v>
      </c>
      <c r="H368" s="2">
        <v>0.17</v>
      </c>
      <c r="I368" s="1" t="s">
        <v>14</v>
      </c>
      <c r="J368" s="1">
        <v>3.1</v>
      </c>
      <c r="K368" s="23">
        <v>506.86</v>
      </c>
    </row>
    <row r="369" spans="1:11" x14ac:dyDescent="0.3">
      <c r="A369" s="1">
        <v>10368</v>
      </c>
      <c r="B369" s="3">
        <v>44929</v>
      </c>
      <c r="C369" s="3" t="str">
        <f>TEXT(Table1[[#This Row],[order_date]],"mmmm")</f>
        <v>January</v>
      </c>
      <c r="D369" s="1" t="s">
        <v>20</v>
      </c>
      <c r="E369" s="1" t="s">
        <v>15</v>
      </c>
      <c r="F369" s="1">
        <v>2</v>
      </c>
      <c r="G369" s="1">
        <v>341.15</v>
      </c>
      <c r="H369" s="2">
        <v>0.3</v>
      </c>
      <c r="I369" s="1" t="s">
        <v>12</v>
      </c>
      <c r="J369" s="1">
        <v>2.8</v>
      </c>
      <c r="K369" s="23">
        <v>477.61</v>
      </c>
    </row>
    <row r="370" spans="1:11" x14ac:dyDescent="0.3">
      <c r="A370" s="1">
        <v>10369</v>
      </c>
      <c r="B370" s="3">
        <v>44930</v>
      </c>
      <c r="C370" s="3" t="str">
        <f>TEXT(Table1[[#This Row],[order_date]],"mmmm")</f>
        <v>January</v>
      </c>
      <c r="D370" s="1" t="s">
        <v>13</v>
      </c>
      <c r="E370" s="1" t="s">
        <v>18</v>
      </c>
      <c r="F370" s="1">
        <v>2</v>
      </c>
      <c r="G370" s="1">
        <v>574.78</v>
      </c>
      <c r="H370" s="2">
        <v>0.19</v>
      </c>
      <c r="I370" s="1" t="s">
        <v>16</v>
      </c>
      <c r="J370" s="1">
        <v>3.7</v>
      </c>
      <c r="K370" s="23">
        <v>931.14</v>
      </c>
    </row>
    <row r="371" spans="1:11" x14ac:dyDescent="0.3">
      <c r="A371" s="1">
        <v>10370</v>
      </c>
      <c r="B371" s="3">
        <v>44931</v>
      </c>
      <c r="C371" s="3" t="str">
        <f>TEXT(Table1[[#This Row],[order_date]],"mmmm")</f>
        <v>January</v>
      </c>
      <c r="D371" s="1" t="s">
        <v>10</v>
      </c>
      <c r="E371" s="1" t="s">
        <v>11</v>
      </c>
      <c r="F371" s="1">
        <v>7</v>
      </c>
      <c r="G371" s="1">
        <v>529.25</v>
      </c>
      <c r="H371" s="2">
        <v>0.02</v>
      </c>
      <c r="I371" s="1" t="s">
        <v>14</v>
      </c>
      <c r="J371" s="1">
        <v>1.3</v>
      </c>
      <c r="K371" s="23">
        <v>3630.66</v>
      </c>
    </row>
    <row r="372" spans="1:11" x14ac:dyDescent="0.3">
      <c r="A372" s="1">
        <v>10371</v>
      </c>
      <c r="B372" s="3">
        <v>44932</v>
      </c>
      <c r="C372" s="3" t="str">
        <f>TEXT(Table1[[#This Row],[order_date]],"mmmm")</f>
        <v>January</v>
      </c>
      <c r="D372" s="1" t="s">
        <v>17</v>
      </c>
      <c r="E372" s="1" t="s">
        <v>19</v>
      </c>
      <c r="F372" s="1">
        <v>7</v>
      </c>
      <c r="G372" s="1">
        <v>251.64</v>
      </c>
      <c r="H372" s="2">
        <v>0.34</v>
      </c>
      <c r="I372" s="1" t="s">
        <v>16</v>
      </c>
      <c r="J372" s="1">
        <v>4.5</v>
      </c>
      <c r="K372" s="23">
        <v>1162.58</v>
      </c>
    </row>
    <row r="373" spans="1:11" x14ac:dyDescent="0.3">
      <c r="A373" s="1">
        <v>10372</v>
      </c>
      <c r="B373" s="3">
        <v>44933</v>
      </c>
      <c r="C373" s="3" t="str">
        <f>TEXT(Table1[[#This Row],[order_date]],"mmmm")</f>
        <v>January</v>
      </c>
      <c r="D373" s="1" t="s">
        <v>17</v>
      </c>
      <c r="E373" s="1" t="s">
        <v>11</v>
      </c>
      <c r="F373" s="1">
        <v>1</v>
      </c>
      <c r="G373" s="1">
        <v>185.54</v>
      </c>
      <c r="H373" s="2">
        <v>0.28999999999999998</v>
      </c>
      <c r="I373" s="1" t="s">
        <v>12</v>
      </c>
      <c r="J373" s="1">
        <v>3</v>
      </c>
      <c r="K373" s="23">
        <v>131.72999999999999</v>
      </c>
    </row>
    <row r="374" spans="1:11" x14ac:dyDescent="0.3">
      <c r="A374" s="1">
        <v>10373</v>
      </c>
      <c r="B374" s="3">
        <v>44934</v>
      </c>
      <c r="C374" s="3" t="str">
        <f>TEXT(Table1[[#This Row],[order_date]],"mmmm")</f>
        <v>January</v>
      </c>
      <c r="D374" s="1" t="s">
        <v>13</v>
      </c>
      <c r="E374" s="1" t="s">
        <v>19</v>
      </c>
      <c r="F374" s="1">
        <v>2</v>
      </c>
      <c r="G374" s="1">
        <v>152.13</v>
      </c>
      <c r="H374" s="2">
        <v>0.05</v>
      </c>
      <c r="I374" s="1" t="s">
        <v>14</v>
      </c>
      <c r="J374" s="1">
        <v>4.5</v>
      </c>
      <c r="K374" s="23">
        <v>289.05</v>
      </c>
    </row>
    <row r="375" spans="1:11" x14ac:dyDescent="0.3">
      <c r="A375" s="1">
        <v>10374</v>
      </c>
      <c r="B375" s="3">
        <v>44935</v>
      </c>
      <c r="C375" s="3" t="str">
        <f>TEXT(Table1[[#This Row],[order_date]],"mmmm")</f>
        <v>January</v>
      </c>
      <c r="D375" s="1" t="s">
        <v>17</v>
      </c>
      <c r="E375" s="1" t="s">
        <v>11</v>
      </c>
      <c r="F375" s="1">
        <v>4</v>
      </c>
      <c r="G375" s="1">
        <v>326.52</v>
      </c>
      <c r="H375" s="2">
        <v>0.32</v>
      </c>
      <c r="I375" s="1" t="s">
        <v>12</v>
      </c>
      <c r="J375" s="1">
        <v>2.4</v>
      </c>
      <c r="K375" s="23">
        <v>888.13</v>
      </c>
    </row>
    <row r="376" spans="1:11" x14ac:dyDescent="0.3">
      <c r="A376" s="1">
        <v>10375</v>
      </c>
      <c r="B376" s="3">
        <v>44936</v>
      </c>
      <c r="C376" s="3" t="str">
        <f>TEXT(Table1[[#This Row],[order_date]],"mmmm")</f>
        <v>January</v>
      </c>
      <c r="D376" s="1" t="s">
        <v>20</v>
      </c>
      <c r="E376" s="1" t="s">
        <v>11</v>
      </c>
      <c r="F376" s="1">
        <v>1</v>
      </c>
      <c r="G376" s="1">
        <v>81.84</v>
      </c>
      <c r="H376" s="2">
        <v>0.16</v>
      </c>
      <c r="I376" s="1" t="s">
        <v>14</v>
      </c>
      <c r="J376" s="1">
        <v>3.6</v>
      </c>
      <c r="K376" s="23">
        <v>68.75</v>
      </c>
    </row>
    <row r="377" spans="1:11" x14ac:dyDescent="0.3">
      <c r="A377" s="1">
        <v>10376</v>
      </c>
      <c r="B377" s="3">
        <v>44937</v>
      </c>
      <c r="C377" s="3" t="str">
        <f>TEXT(Table1[[#This Row],[order_date]],"mmmm")</f>
        <v>January</v>
      </c>
      <c r="D377" s="1" t="s">
        <v>20</v>
      </c>
      <c r="E377" s="1" t="s">
        <v>19</v>
      </c>
      <c r="F377" s="1">
        <v>5</v>
      </c>
      <c r="G377" s="1">
        <v>336.33</v>
      </c>
      <c r="H377" s="2">
        <v>0.13</v>
      </c>
      <c r="I377" s="1" t="s">
        <v>16</v>
      </c>
      <c r="J377" s="1">
        <v>4.8</v>
      </c>
      <c r="K377" s="23">
        <v>1463.04</v>
      </c>
    </row>
    <row r="378" spans="1:11" x14ac:dyDescent="0.3">
      <c r="A378" s="1">
        <v>10377</v>
      </c>
      <c r="B378" s="3">
        <v>44938</v>
      </c>
      <c r="C378" s="3" t="str">
        <f>TEXT(Table1[[#This Row],[order_date]],"mmmm")</f>
        <v>January</v>
      </c>
      <c r="D378" s="1" t="s">
        <v>17</v>
      </c>
      <c r="E378" s="1" t="s">
        <v>19</v>
      </c>
      <c r="F378" s="1">
        <v>1</v>
      </c>
      <c r="G378" s="1">
        <v>15.78</v>
      </c>
      <c r="H378" s="2">
        <v>0.16</v>
      </c>
      <c r="I378" s="1" t="s">
        <v>12</v>
      </c>
      <c r="J378" s="1">
        <v>4.8</v>
      </c>
      <c r="K378" s="23">
        <v>13.26</v>
      </c>
    </row>
    <row r="379" spans="1:11" x14ac:dyDescent="0.3">
      <c r="A379" s="1">
        <v>10378</v>
      </c>
      <c r="B379" s="3">
        <v>44939</v>
      </c>
      <c r="C379" s="3" t="str">
        <f>TEXT(Table1[[#This Row],[order_date]],"mmmm")</f>
        <v>January</v>
      </c>
      <c r="D379" s="1" t="s">
        <v>13</v>
      </c>
      <c r="E379" s="1" t="s">
        <v>11</v>
      </c>
      <c r="F379" s="1">
        <v>1</v>
      </c>
      <c r="G379" s="1">
        <v>204.45</v>
      </c>
      <c r="H379" s="2">
        <v>0.28999999999999998</v>
      </c>
      <c r="I379" s="1" t="s">
        <v>12</v>
      </c>
      <c r="J379" s="1">
        <v>4.8</v>
      </c>
      <c r="K379" s="23">
        <v>145.16</v>
      </c>
    </row>
    <row r="380" spans="1:11" x14ac:dyDescent="0.3">
      <c r="A380" s="1">
        <v>10379</v>
      </c>
      <c r="B380" s="3">
        <v>44940</v>
      </c>
      <c r="C380" s="3" t="str">
        <f>TEXT(Table1[[#This Row],[order_date]],"mmmm")</f>
        <v>January</v>
      </c>
      <c r="D380" s="1" t="s">
        <v>13</v>
      </c>
      <c r="E380" s="1" t="s">
        <v>11</v>
      </c>
      <c r="F380" s="1">
        <v>5</v>
      </c>
      <c r="G380" s="1">
        <v>143.66</v>
      </c>
      <c r="H380" s="2">
        <v>0.23</v>
      </c>
      <c r="I380" s="1" t="s">
        <v>16</v>
      </c>
      <c r="J380" s="1">
        <v>1.2</v>
      </c>
      <c r="K380" s="23">
        <v>553.09</v>
      </c>
    </row>
    <row r="381" spans="1:11" x14ac:dyDescent="0.3">
      <c r="A381" s="1">
        <v>10380</v>
      </c>
      <c r="B381" s="3">
        <v>44941</v>
      </c>
      <c r="C381" s="3" t="str">
        <f>TEXT(Table1[[#This Row],[order_date]],"mmmm")</f>
        <v>January</v>
      </c>
      <c r="D381" s="1" t="s">
        <v>13</v>
      </c>
      <c r="E381" s="1" t="s">
        <v>11</v>
      </c>
      <c r="F381" s="1">
        <v>6</v>
      </c>
      <c r="G381" s="1">
        <v>583.16</v>
      </c>
      <c r="H381" s="2">
        <v>0.02</v>
      </c>
      <c r="I381" s="1" t="s">
        <v>16</v>
      </c>
      <c r="J381" s="1">
        <v>2.6</v>
      </c>
      <c r="K381" s="23">
        <v>3428.98</v>
      </c>
    </row>
    <row r="382" spans="1:11" x14ac:dyDescent="0.3">
      <c r="A382" s="1">
        <v>10381</v>
      </c>
      <c r="B382" s="3">
        <v>44942</v>
      </c>
      <c r="C382" s="3" t="str">
        <f>TEXT(Table1[[#This Row],[order_date]],"mmmm")</f>
        <v>January</v>
      </c>
      <c r="D382" s="1" t="s">
        <v>10</v>
      </c>
      <c r="E382" s="1" t="s">
        <v>18</v>
      </c>
      <c r="F382" s="1">
        <v>7</v>
      </c>
      <c r="G382" s="1">
        <v>440.44</v>
      </c>
      <c r="H382" s="2">
        <v>0.34</v>
      </c>
      <c r="I382" s="1" t="s">
        <v>14</v>
      </c>
      <c r="J382" s="1">
        <v>1.2</v>
      </c>
      <c r="K382" s="23">
        <v>2034.83</v>
      </c>
    </row>
    <row r="383" spans="1:11" x14ac:dyDescent="0.3">
      <c r="A383" s="1">
        <v>10382</v>
      </c>
      <c r="B383" s="3">
        <v>44943</v>
      </c>
      <c r="C383" s="3" t="str">
        <f>TEXT(Table1[[#This Row],[order_date]],"mmmm")</f>
        <v>January</v>
      </c>
      <c r="D383" s="1" t="s">
        <v>20</v>
      </c>
      <c r="E383" s="1" t="s">
        <v>18</v>
      </c>
      <c r="F383" s="1">
        <v>4</v>
      </c>
      <c r="G383" s="1">
        <v>219.55</v>
      </c>
      <c r="H383" s="2">
        <v>0.05</v>
      </c>
      <c r="I383" s="1" t="s">
        <v>14</v>
      </c>
      <c r="J383" s="1">
        <v>2.2000000000000002</v>
      </c>
      <c r="K383" s="23">
        <v>834.29</v>
      </c>
    </row>
    <row r="384" spans="1:11" x14ac:dyDescent="0.3">
      <c r="A384" s="1">
        <v>10383</v>
      </c>
      <c r="B384" s="3">
        <v>44944</v>
      </c>
      <c r="C384" s="3" t="str">
        <f>TEXT(Table1[[#This Row],[order_date]],"mmmm")</f>
        <v>January</v>
      </c>
      <c r="D384" s="1" t="s">
        <v>20</v>
      </c>
      <c r="E384" s="1" t="s">
        <v>15</v>
      </c>
      <c r="F384" s="1">
        <v>6</v>
      </c>
      <c r="G384" s="1">
        <v>69.31</v>
      </c>
      <c r="H384" s="2">
        <v>0.26</v>
      </c>
      <c r="I384" s="1" t="s">
        <v>14</v>
      </c>
      <c r="J384" s="1">
        <v>1.7</v>
      </c>
      <c r="K384" s="23">
        <v>307.74</v>
      </c>
    </row>
    <row r="385" spans="1:11" x14ac:dyDescent="0.3">
      <c r="A385" s="1">
        <v>10384</v>
      </c>
      <c r="B385" s="3">
        <v>44945</v>
      </c>
      <c r="C385" s="3" t="str">
        <f>TEXT(Table1[[#This Row],[order_date]],"mmmm")</f>
        <v>January</v>
      </c>
      <c r="D385" s="1" t="s">
        <v>20</v>
      </c>
      <c r="E385" s="1" t="s">
        <v>18</v>
      </c>
      <c r="F385" s="1">
        <v>6</v>
      </c>
      <c r="G385" s="1">
        <v>317.33</v>
      </c>
      <c r="H385" s="2">
        <v>0.22</v>
      </c>
      <c r="I385" s="1" t="s">
        <v>14</v>
      </c>
      <c r="J385" s="1">
        <v>3.5</v>
      </c>
      <c r="K385" s="23">
        <v>1485.1</v>
      </c>
    </row>
    <row r="386" spans="1:11" x14ac:dyDescent="0.3">
      <c r="A386" s="1">
        <v>10385</v>
      </c>
      <c r="B386" s="3">
        <v>44946</v>
      </c>
      <c r="C386" s="3" t="str">
        <f>TEXT(Table1[[#This Row],[order_date]],"mmmm")</f>
        <v>January</v>
      </c>
      <c r="D386" s="1" t="s">
        <v>13</v>
      </c>
      <c r="E386" s="1" t="s">
        <v>18</v>
      </c>
      <c r="F386" s="1">
        <v>6</v>
      </c>
      <c r="G386" s="1">
        <v>139.87</v>
      </c>
      <c r="H386" s="2">
        <v>7.0000000000000007E-2</v>
      </c>
      <c r="I386" s="1" t="s">
        <v>14</v>
      </c>
      <c r="J386" s="1">
        <v>4.0999999999999996</v>
      </c>
      <c r="K386" s="23">
        <v>780.47</v>
      </c>
    </row>
    <row r="387" spans="1:11" x14ac:dyDescent="0.3">
      <c r="A387" s="1">
        <v>10386</v>
      </c>
      <c r="B387" s="3">
        <v>44947</v>
      </c>
      <c r="C387" s="3" t="str">
        <f>TEXT(Table1[[#This Row],[order_date]],"mmmm")</f>
        <v>January</v>
      </c>
      <c r="D387" s="1" t="s">
        <v>10</v>
      </c>
      <c r="E387" s="1" t="s">
        <v>19</v>
      </c>
      <c r="F387" s="1">
        <v>7</v>
      </c>
      <c r="G387" s="1">
        <v>328.81</v>
      </c>
      <c r="H387" s="2">
        <v>0.06</v>
      </c>
      <c r="I387" s="1" t="s">
        <v>14</v>
      </c>
      <c r="J387" s="1">
        <v>3.1</v>
      </c>
      <c r="K387" s="23">
        <v>2163.5700000000002</v>
      </c>
    </row>
    <row r="388" spans="1:11" x14ac:dyDescent="0.3">
      <c r="A388" s="1">
        <v>10387</v>
      </c>
      <c r="B388" s="3">
        <v>44948</v>
      </c>
      <c r="C388" s="3" t="str">
        <f>TEXT(Table1[[#This Row],[order_date]],"mmmm")</f>
        <v>January</v>
      </c>
      <c r="D388" s="1" t="s">
        <v>20</v>
      </c>
      <c r="E388" s="1" t="s">
        <v>15</v>
      </c>
      <c r="F388" s="1">
        <v>3</v>
      </c>
      <c r="G388" s="1">
        <v>503.69</v>
      </c>
      <c r="H388" s="2">
        <v>0.3</v>
      </c>
      <c r="I388" s="1" t="s">
        <v>12</v>
      </c>
      <c r="J388" s="1">
        <v>4.2</v>
      </c>
      <c r="K388" s="23">
        <v>1057.75</v>
      </c>
    </row>
    <row r="389" spans="1:11" x14ac:dyDescent="0.3">
      <c r="A389" s="1">
        <v>10388</v>
      </c>
      <c r="B389" s="3">
        <v>44949</v>
      </c>
      <c r="C389" s="3" t="str">
        <f>TEXT(Table1[[#This Row],[order_date]],"mmmm")</f>
        <v>January</v>
      </c>
      <c r="D389" s="1" t="s">
        <v>20</v>
      </c>
      <c r="E389" s="1" t="s">
        <v>15</v>
      </c>
      <c r="F389" s="1">
        <v>7</v>
      </c>
      <c r="G389" s="1">
        <v>375.24</v>
      </c>
      <c r="H389" s="2">
        <v>0.15</v>
      </c>
      <c r="I389" s="1" t="s">
        <v>16</v>
      </c>
      <c r="J389" s="1">
        <v>1.1000000000000001</v>
      </c>
      <c r="K389" s="23">
        <v>2232.6799999999998</v>
      </c>
    </row>
    <row r="390" spans="1:11" x14ac:dyDescent="0.3">
      <c r="A390" s="1">
        <v>10389</v>
      </c>
      <c r="B390" s="3">
        <v>44950</v>
      </c>
      <c r="C390" s="3" t="str">
        <f>TEXT(Table1[[#This Row],[order_date]],"mmmm")</f>
        <v>January</v>
      </c>
      <c r="D390" s="1" t="s">
        <v>10</v>
      </c>
      <c r="E390" s="1" t="s">
        <v>18</v>
      </c>
      <c r="F390" s="1">
        <v>6</v>
      </c>
      <c r="G390" s="1">
        <v>385.77</v>
      </c>
      <c r="H390" s="2">
        <v>0.23</v>
      </c>
      <c r="I390" s="1" t="s">
        <v>14</v>
      </c>
      <c r="J390" s="1">
        <v>4.3</v>
      </c>
      <c r="K390" s="23">
        <v>1782.26</v>
      </c>
    </row>
    <row r="391" spans="1:11" x14ac:dyDescent="0.3">
      <c r="A391" s="1">
        <v>10390</v>
      </c>
      <c r="B391" s="3">
        <v>44951</v>
      </c>
      <c r="C391" s="3" t="str">
        <f>TEXT(Table1[[#This Row],[order_date]],"mmmm")</f>
        <v>January</v>
      </c>
      <c r="D391" s="1" t="s">
        <v>17</v>
      </c>
      <c r="E391" s="1" t="s">
        <v>19</v>
      </c>
      <c r="F391" s="1">
        <v>3</v>
      </c>
      <c r="G391" s="1">
        <v>331.5</v>
      </c>
      <c r="H391" s="2">
        <v>0.18</v>
      </c>
      <c r="I391" s="1" t="s">
        <v>12</v>
      </c>
      <c r="J391" s="1">
        <v>1.7</v>
      </c>
      <c r="K391" s="23">
        <v>815.49</v>
      </c>
    </row>
    <row r="392" spans="1:11" x14ac:dyDescent="0.3">
      <c r="A392" s="1">
        <v>10391</v>
      </c>
      <c r="B392" s="3">
        <v>44952</v>
      </c>
      <c r="C392" s="3" t="str">
        <f>TEXT(Table1[[#This Row],[order_date]],"mmmm")</f>
        <v>January</v>
      </c>
      <c r="D392" s="1" t="s">
        <v>20</v>
      </c>
      <c r="E392" s="1" t="s">
        <v>19</v>
      </c>
      <c r="F392" s="1">
        <v>5</v>
      </c>
      <c r="G392" s="1">
        <v>557.45000000000005</v>
      </c>
      <c r="H392" s="2">
        <v>0.25</v>
      </c>
      <c r="I392" s="1" t="s">
        <v>14</v>
      </c>
      <c r="J392" s="1">
        <v>2.8</v>
      </c>
      <c r="K392" s="23">
        <v>2090.44</v>
      </c>
    </row>
    <row r="393" spans="1:11" x14ac:dyDescent="0.3">
      <c r="A393" s="1">
        <v>10392</v>
      </c>
      <c r="B393" s="3">
        <v>44953</v>
      </c>
      <c r="C393" s="3" t="str">
        <f>TEXT(Table1[[#This Row],[order_date]],"mmmm")</f>
        <v>January</v>
      </c>
      <c r="D393" s="1" t="s">
        <v>17</v>
      </c>
      <c r="E393" s="1" t="s">
        <v>15</v>
      </c>
      <c r="F393" s="1">
        <v>7</v>
      </c>
      <c r="G393" s="1">
        <v>560.16</v>
      </c>
      <c r="H393" s="2">
        <v>0.17</v>
      </c>
      <c r="I393" s="1" t="s">
        <v>16</v>
      </c>
      <c r="J393" s="1">
        <v>2.8</v>
      </c>
      <c r="K393" s="23">
        <v>3254.53</v>
      </c>
    </row>
    <row r="394" spans="1:11" x14ac:dyDescent="0.3">
      <c r="A394" s="1">
        <v>10393</v>
      </c>
      <c r="B394" s="3">
        <v>44954</v>
      </c>
      <c r="C394" s="3" t="str">
        <f>TEXT(Table1[[#This Row],[order_date]],"mmmm")</f>
        <v>January</v>
      </c>
      <c r="D394" s="1" t="s">
        <v>17</v>
      </c>
      <c r="E394" s="1" t="s">
        <v>19</v>
      </c>
      <c r="F394" s="1">
        <v>4</v>
      </c>
      <c r="G394" s="1">
        <v>314.94</v>
      </c>
      <c r="H394" s="2">
        <v>0.1</v>
      </c>
      <c r="I394" s="1" t="s">
        <v>16</v>
      </c>
      <c r="J394" s="1">
        <v>4.5</v>
      </c>
      <c r="K394" s="23">
        <v>1133.78</v>
      </c>
    </row>
    <row r="395" spans="1:11" x14ac:dyDescent="0.3">
      <c r="A395" s="1">
        <v>10394</v>
      </c>
      <c r="B395" s="3">
        <v>44955</v>
      </c>
      <c r="C395" s="3" t="str">
        <f>TEXT(Table1[[#This Row],[order_date]],"mmmm")</f>
        <v>January</v>
      </c>
      <c r="D395" s="1" t="s">
        <v>17</v>
      </c>
      <c r="E395" s="1" t="s">
        <v>11</v>
      </c>
      <c r="F395" s="1">
        <v>6</v>
      </c>
      <c r="G395" s="1">
        <v>193.87</v>
      </c>
      <c r="H395" s="2">
        <v>0.13</v>
      </c>
      <c r="I395" s="1" t="s">
        <v>14</v>
      </c>
      <c r="J395" s="1">
        <v>4.9000000000000004</v>
      </c>
      <c r="K395" s="23">
        <v>1012</v>
      </c>
    </row>
    <row r="396" spans="1:11" x14ac:dyDescent="0.3">
      <c r="A396" s="1">
        <v>10395</v>
      </c>
      <c r="B396" s="3">
        <v>44956</v>
      </c>
      <c r="C396" s="3" t="str">
        <f>TEXT(Table1[[#This Row],[order_date]],"mmmm")</f>
        <v>January</v>
      </c>
      <c r="D396" s="1" t="s">
        <v>10</v>
      </c>
      <c r="E396" s="1" t="s">
        <v>18</v>
      </c>
      <c r="F396" s="1">
        <v>2</v>
      </c>
      <c r="G396" s="1">
        <v>283.86</v>
      </c>
      <c r="H396" s="2">
        <v>0.3</v>
      </c>
      <c r="I396" s="1" t="s">
        <v>16</v>
      </c>
      <c r="J396" s="1">
        <v>2</v>
      </c>
      <c r="K396" s="23">
        <v>397.4</v>
      </c>
    </row>
    <row r="397" spans="1:11" x14ac:dyDescent="0.3">
      <c r="A397" s="1">
        <v>10396</v>
      </c>
      <c r="B397" s="3">
        <v>44957</v>
      </c>
      <c r="C397" s="3" t="str">
        <f>TEXT(Table1[[#This Row],[order_date]],"mmmm")</f>
        <v>January</v>
      </c>
      <c r="D397" s="1" t="s">
        <v>10</v>
      </c>
      <c r="E397" s="1" t="s">
        <v>11</v>
      </c>
      <c r="F397" s="1">
        <v>5</v>
      </c>
      <c r="G397" s="1">
        <v>124.14</v>
      </c>
      <c r="H397" s="2">
        <v>0.16</v>
      </c>
      <c r="I397" s="1" t="s">
        <v>14</v>
      </c>
      <c r="J397" s="1">
        <v>1.3</v>
      </c>
      <c r="K397" s="23">
        <v>521.39</v>
      </c>
    </row>
    <row r="398" spans="1:11" x14ac:dyDescent="0.3">
      <c r="A398" s="1">
        <v>10397</v>
      </c>
      <c r="B398" s="3">
        <v>44958</v>
      </c>
      <c r="C398" s="3" t="str">
        <f>TEXT(Table1[[#This Row],[order_date]],"mmmm")</f>
        <v>February</v>
      </c>
      <c r="D398" s="1" t="s">
        <v>20</v>
      </c>
      <c r="E398" s="1" t="s">
        <v>15</v>
      </c>
      <c r="F398" s="1">
        <v>3</v>
      </c>
      <c r="G398" s="1">
        <v>387.26</v>
      </c>
      <c r="H398" s="2">
        <v>7.0000000000000007E-2</v>
      </c>
      <c r="I398" s="1" t="s">
        <v>14</v>
      </c>
      <c r="J398" s="1">
        <v>3.6</v>
      </c>
      <c r="K398" s="23">
        <v>1080.46</v>
      </c>
    </row>
    <row r="399" spans="1:11" x14ac:dyDescent="0.3">
      <c r="A399" s="1">
        <v>10398</v>
      </c>
      <c r="B399" s="3">
        <v>44959</v>
      </c>
      <c r="C399" s="3" t="str">
        <f>TEXT(Table1[[#This Row],[order_date]],"mmmm")</f>
        <v>February</v>
      </c>
      <c r="D399" s="1" t="s">
        <v>20</v>
      </c>
      <c r="E399" s="1" t="s">
        <v>15</v>
      </c>
      <c r="F399" s="1">
        <v>7</v>
      </c>
      <c r="G399" s="1">
        <v>307.55</v>
      </c>
      <c r="H399" s="2">
        <v>0.33</v>
      </c>
      <c r="I399" s="1" t="s">
        <v>14</v>
      </c>
      <c r="J399" s="1">
        <v>3</v>
      </c>
      <c r="K399" s="23">
        <v>1442.41</v>
      </c>
    </row>
    <row r="400" spans="1:11" x14ac:dyDescent="0.3">
      <c r="A400" s="1">
        <v>10399</v>
      </c>
      <c r="B400" s="3">
        <v>44960</v>
      </c>
      <c r="C400" s="3" t="str">
        <f>TEXT(Table1[[#This Row],[order_date]],"mmmm")</f>
        <v>February</v>
      </c>
      <c r="D400" s="1" t="s">
        <v>13</v>
      </c>
      <c r="E400" s="1" t="s">
        <v>19</v>
      </c>
      <c r="F400" s="1">
        <v>4</v>
      </c>
      <c r="G400" s="1">
        <v>75.430000000000007</v>
      </c>
      <c r="H400" s="2">
        <v>0.28000000000000003</v>
      </c>
      <c r="I400" s="1" t="s">
        <v>12</v>
      </c>
      <c r="J400" s="1">
        <v>3.3</v>
      </c>
      <c r="K400" s="23">
        <v>217.24</v>
      </c>
    </row>
    <row r="401" spans="1:11" x14ac:dyDescent="0.3">
      <c r="A401" s="1">
        <v>10400</v>
      </c>
      <c r="B401" s="3">
        <v>44961</v>
      </c>
      <c r="C401" s="3" t="str">
        <f>TEXT(Table1[[#This Row],[order_date]],"mmmm")</f>
        <v>February</v>
      </c>
      <c r="D401" s="1" t="s">
        <v>10</v>
      </c>
      <c r="E401" s="1" t="s">
        <v>19</v>
      </c>
      <c r="F401" s="1">
        <v>1</v>
      </c>
      <c r="G401" s="1">
        <v>130.62</v>
      </c>
      <c r="H401" s="2">
        <v>0.02</v>
      </c>
      <c r="I401" s="1" t="s">
        <v>16</v>
      </c>
      <c r="J401" s="1">
        <v>1.2</v>
      </c>
      <c r="K401" s="23">
        <v>128.01</v>
      </c>
    </row>
    <row r="402" spans="1:11" x14ac:dyDescent="0.3">
      <c r="A402" s="1">
        <v>10401</v>
      </c>
      <c r="B402" s="3">
        <v>44962</v>
      </c>
      <c r="C402" s="3" t="str">
        <f>TEXT(Table1[[#This Row],[order_date]],"mmmm")</f>
        <v>February</v>
      </c>
      <c r="D402" s="1" t="s">
        <v>13</v>
      </c>
      <c r="E402" s="1" t="s">
        <v>15</v>
      </c>
      <c r="F402" s="1">
        <v>4</v>
      </c>
      <c r="G402" s="1">
        <v>295.58</v>
      </c>
      <c r="H402" s="2">
        <v>0.35</v>
      </c>
      <c r="I402" s="1" t="s">
        <v>16</v>
      </c>
      <c r="J402" s="1">
        <v>4.0999999999999996</v>
      </c>
      <c r="K402" s="23">
        <v>768.51</v>
      </c>
    </row>
    <row r="403" spans="1:11" x14ac:dyDescent="0.3">
      <c r="A403" s="1">
        <v>10402</v>
      </c>
      <c r="B403" s="3">
        <v>44963</v>
      </c>
      <c r="C403" s="3" t="str">
        <f>TEXT(Table1[[#This Row],[order_date]],"mmmm")</f>
        <v>February</v>
      </c>
      <c r="D403" s="1" t="s">
        <v>13</v>
      </c>
      <c r="E403" s="1" t="s">
        <v>15</v>
      </c>
      <c r="F403" s="1">
        <v>4</v>
      </c>
      <c r="G403" s="1">
        <v>534.24</v>
      </c>
      <c r="H403" s="2">
        <v>0.24</v>
      </c>
      <c r="I403" s="1" t="s">
        <v>16</v>
      </c>
      <c r="J403" s="1">
        <v>1.9</v>
      </c>
      <c r="K403" s="23">
        <v>1624.09</v>
      </c>
    </row>
    <row r="404" spans="1:11" x14ac:dyDescent="0.3">
      <c r="A404" s="1">
        <v>10403</v>
      </c>
      <c r="B404" s="3">
        <v>44964</v>
      </c>
      <c r="C404" s="3" t="str">
        <f>TEXT(Table1[[#This Row],[order_date]],"mmmm")</f>
        <v>February</v>
      </c>
      <c r="D404" s="1" t="s">
        <v>17</v>
      </c>
      <c r="E404" s="1" t="s">
        <v>11</v>
      </c>
      <c r="F404" s="1">
        <v>6</v>
      </c>
      <c r="G404" s="1">
        <v>346.34</v>
      </c>
      <c r="H404" s="2">
        <v>0.06</v>
      </c>
      <c r="I404" s="1" t="s">
        <v>14</v>
      </c>
      <c r="J404" s="1">
        <v>2.2999999999999998</v>
      </c>
      <c r="K404" s="23">
        <v>1953.36</v>
      </c>
    </row>
    <row r="405" spans="1:11" x14ac:dyDescent="0.3">
      <c r="A405" s="1">
        <v>10404</v>
      </c>
      <c r="B405" s="3">
        <v>44965</v>
      </c>
      <c r="C405" s="3" t="str">
        <f>TEXT(Table1[[#This Row],[order_date]],"mmmm")</f>
        <v>February</v>
      </c>
      <c r="D405" s="1" t="s">
        <v>20</v>
      </c>
      <c r="E405" s="1" t="s">
        <v>11</v>
      </c>
      <c r="F405" s="1">
        <v>6</v>
      </c>
      <c r="G405" s="1">
        <v>413.7</v>
      </c>
      <c r="H405" s="2">
        <v>0.08</v>
      </c>
      <c r="I405" s="1" t="s">
        <v>16</v>
      </c>
      <c r="J405" s="1">
        <v>1.9</v>
      </c>
      <c r="K405" s="23">
        <v>2283.62</v>
      </c>
    </row>
    <row r="406" spans="1:11" x14ac:dyDescent="0.3">
      <c r="A406" s="1">
        <v>10405</v>
      </c>
      <c r="B406" s="3">
        <v>44966</v>
      </c>
      <c r="C406" s="3" t="str">
        <f>TEXT(Table1[[#This Row],[order_date]],"mmmm")</f>
        <v>February</v>
      </c>
      <c r="D406" s="1" t="s">
        <v>20</v>
      </c>
      <c r="E406" s="1" t="s">
        <v>19</v>
      </c>
      <c r="F406" s="1">
        <v>7</v>
      </c>
      <c r="G406" s="1">
        <v>213.33</v>
      </c>
      <c r="H406" s="2">
        <v>0.24</v>
      </c>
      <c r="I406" s="1" t="s">
        <v>14</v>
      </c>
      <c r="J406" s="1">
        <v>4.8</v>
      </c>
      <c r="K406" s="23">
        <v>1134.92</v>
      </c>
    </row>
    <row r="407" spans="1:11" x14ac:dyDescent="0.3">
      <c r="A407" s="1">
        <v>10406</v>
      </c>
      <c r="B407" s="3">
        <v>44967</v>
      </c>
      <c r="C407" s="3" t="str">
        <f>TEXT(Table1[[#This Row],[order_date]],"mmmm")</f>
        <v>February</v>
      </c>
      <c r="D407" s="1" t="s">
        <v>13</v>
      </c>
      <c r="E407" s="1" t="s">
        <v>11</v>
      </c>
      <c r="F407" s="1">
        <v>7</v>
      </c>
      <c r="G407" s="1">
        <v>349.28</v>
      </c>
      <c r="H407" s="2">
        <v>0.27</v>
      </c>
      <c r="I407" s="1" t="s">
        <v>14</v>
      </c>
      <c r="J407" s="1">
        <v>1.7</v>
      </c>
      <c r="K407" s="23">
        <v>1784.82</v>
      </c>
    </row>
    <row r="408" spans="1:11" x14ac:dyDescent="0.3">
      <c r="A408" s="1">
        <v>10407</v>
      </c>
      <c r="B408" s="3">
        <v>44968</v>
      </c>
      <c r="C408" s="3" t="str">
        <f>TEXT(Table1[[#This Row],[order_date]],"mmmm")</f>
        <v>February</v>
      </c>
      <c r="D408" s="1" t="s">
        <v>17</v>
      </c>
      <c r="E408" s="1" t="s">
        <v>19</v>
      </c>
      <c r="F408" s="1">
        <v>3</v>
      </c>
      <c r="G408" s="1">
        <v>276.72000000000003</v>
      </c>
      <c r="H408" s="2">
        <v>0.08</v>
      </c>
      <c r="I408" s="1" t="s">
        <v>16</v>
      </c>
      <c r="J408" s="1">
        <v>3.9</v>
      </c>
      <c r="K408" s="23">
        <v>763.75</v>
      </c>
    </row>
    <row r="409" spans="1:11" x14ac:dyDescent="0.3">
      <c r="A409" s="1">
        <v>10408</v>
      </c>
      <c r="B409" s="3">
        <v>44969</v>
      </c>
      <c r="C409" s="3" t="str">
        <f>TEXT(Table1[[#This Row],[order_date]],"mmmm")</f>
        <v>February</v>
      </c>
      <c r="D409" s="1" t="s">
        <v>20</v>
      </c>
      <c r="E409" s="1" t="s">
        <v>19</v>
      </c>
      <c r="F409" s="1">
        <v>7</v>
      </c>
      <c r="G409" s="1">
        <v>400.59</v>
      </c>
      <c r="H409" s="2">
        <v>0.09</v>
      </c>
      <c r="I409" s="1" t="s">
        <v>14</v>
      </c>
      <c r="J409" s="1">
        <v>2</v>
      </c>
      <c r="K409" s="23">
        <v>2551.7600000000002</v>
      </c>
    </row>
    <row r="410" spans="1:11" x14ac:dyDescent="0.3">
      <c r="A410" s="1">
        <v>10409</v>
      </c>
      <c r="B410" s="3">
        <v>44970</v>
      </c>
      <c r="C410" s="3" t="str">
        <f>TEXT(Table1[[#This Row],[order_date]],"mmmm")</f>
        <v>February</v>
      </c>
      <c r="D410" s="1" t="s">
        <v>17</v>
      </c>
      <c r="E410" s="1" t="s">
        <v>18</v>
      </c>
      <c r="F410" s="1">
        <v>3</v>
      </c>
      <c r="G410" s="1">
        <v>44.59</v>
      </c>
      <c r="H410" s="2">
        <v>0.11</v>
      </c>
      <c r="I410" s="1" t="s">
        <v>14</v>
      </c>
      <c r="J410" s="1">
        <v>2.7</v>
      </c>
      <c r="K410" s="23">
        <v>119.06</v>
      </c>
    </row>
    <row r="411" spans="1:11" x14ac:dyDescent="0.3">
      <c r="A411" s="1">
        <v>10410</v>
      </c>
      <c r="B411" s="3">
        <v>44971</v>
      </c>
      <c r="C411" s="3" t="str">
        <f>TEXT(Table1[[#This Row],[order_date]],"mmmm")</f>
        <v>February</v>
      </c>
      <c r="D411" s="1" t="s">
        <v>20</v>
      </c>
      <c r="E411" s="1" t="s">
        <v>19</v>
      </c>
      <c r="F411" s="1">
        <v>6</v>
      </c>
      <c r="G411" s="1">
        <v>303.58</v>
      </c>
      <c r="H411" s="2">
        <v>0.21</v>
      </c>
      <c r="I411" s="1" t="s">
        <v>12</v>
      </c>
      <c r="J411" s="1">
        <v>5</v>
      </c>
      <c r="K411" s="23">
        <v>1438.97</v>
      </c>
    </row>
    <row r="412" spans="1:11" x14ac:dyDescent="0.3">
      <c r="A412" s="1">
        <v>10411</v>
      </c>
      <c r="B412" s="3">
        <v>44972</v>
      </c>
      <c r="C412" s="3" t="str">
        <f>TEXT(Table1[[#This Row],[order_date]],"mmmm")</f>
        <v>February</v>
      </c>
      <c r="D412" s="1" t="s">
        <v>10</v>
      </c>
      <c r="E412" s="1" t="s">
        <v>11</v>
      </c>
      <c r="F412" s="1">
        <v>6</v>
      </c>
      <c r="G412" s="1">
        <v>188.16</v>
      </c>
      <c r="H412" s="2">
        <v>0.06</v>
      </c>
      <c r="I412" s="1" t="s">
        <v>16</v>
      </c>
      <c r="J412" s="1">
        <v>1.4</v>
      </c>
      <c r="K412" s="23">
        <v>1061.22</v>
      </c>
    </row>
    <row r="413" spans="1:11" x14ac:dyDescent="0.3">
      <c r="A413" s="1">
        <v>10412</v>
      </c>
      <c r="B413" s="3">
        <v>44973</v>
      </c>
      <c r="C413" s="3" t="str">
        <f>TEXT(Table1[[#This Row],[order_date]],"mmmm")</f>
        <v>February</v>
      </c>
      <c r="D413" s="1" t="s">
        <v>13</v>
      </c>
      <c r="E413" s="1" t="s">
        <v>15</v>
      </c>
      <c r="F413" s="1">
        <v>2</v>
      </c>
      <c r="G413" s="1">
        <v>205.82</v>
      </c>
      <c r="H413" s="2">
        <v>0.04</v>
      </c>
      <c r="I413" s="1" t="s">
        <v>16</v>
      </c>
      <c r="J413" s="1">
        <v>4.5</v>
      </c>
      <c r="K413" s="23">
        <v>395.17</v>
      </c>
    </row>
    <row r="414" spans="1:11" x14ac:dyDescent="0.3">
      <c r="A414" s="1">
        <v>10413</v>
      </c>
      <c r="B414" s="3">
        <v>44974</v>
      </c>
      <c r="C414" s="3" t="str">
        <f>TEXT(Table1[[#This Row],[order_date]],"mmmm")</f>
        <v>February</v>
      </c>
      <c r="D414" s="1" t="s">
        <v>17</v>
      </c>
      <c r="E414" s="1" t="s">
        <v>15</v>
      </c>
      <c r="F414" s="1">
        <v>2</v>
      </c>
      <c r="G414" s="1">
        <v>577.14</v>
      </c>
      <c r="H414" s="2">
        <v>0.24</v>
      </c>
      <c r="I414" s="1" t="s">
        <v>14</v>
      </c>
      <c r="J414" s="1">
        <v>4.8</v>
      </c>
      <c r="K414" s="23">
        <v>877.25</v>
      </c>
    </row>
    <row r="415" spans="1:11" x14ac:dyDescent="0.3">
      <c r="A415" s="1">
        <v>10414</v>
      </c>
      <c r="B415" s="3">
        <v>44975</v>
      </c>
      <c r="C415" s="3" t="str">
        <f>TEXT(Table1[[#This Row],[order_date]],"mmmm")</f>
        <v>February</v>
      </c>
      <c r="D415" s="1" t="s">
        <v>20</v>
      </c>
      <c r="E415" s="1" t="s">
        <v>11</v>
      </c>
      <c r="F415" s="1">
        <v>5</v>
      </c>
      <c r="G415" s="1">
        <v>121.88</v>
      </c>
      <c r="H415" s="2">
        <v>0.27</v>
      </c>
      <c r="I415" s="1" t="s">
        <v>14</v>
      </c>
      <c r="J415" s="1">
        <v>3.8</v>
      </c>
      <c r="K415" s="23">
        <v>444.86</v>
      </c>
    </row>
    <row r="416" spans="1:11" x14ac:dyDescent="0.3">
      <c r="A416" s="1">
        <v>10415</v>
      </c>
      <c r="B416" s="3">
        <v>44976</v>
      </c>
      <c r="C416" s="3" t="str">
        <f>TEXT(Table1[[#This Row],[order_date]],"mmmm")</f>
        <v>February</v>
      </c>
      <c r="D416" s="1" t="s">
        <v>20</v>
      </c>
      <c r="E416" s="1" t="s">
        <v>15</v>
      </c>
      <c r="F416" s="1">
        <v>6</v>
      </c>
      <c r="G416" s="1">
        <v>197.08</v>
      </c>
      <c r="H416" s="2">
        <v>0.18</v>
      </c>
      <c r="I416" s="1" t="s">
        <v>16</v>
      </c>
      <c r="J416" s="1">
        <v>1</v>
      </c>
      <c r="K416" s="23">
        <v>969.63</v>
      </c>
    </row>
    <row r="417" spans="1:11" x14ac:dyDescent="0.3">
      <c r="A417" s="1">
        <v>10416</v>
      </c>
      <c r="B417" s="3">
        <v>44977</v>
      </c>
      <c r="C417" s="3" t="str">
        <f>TEXT(Table1[[#This Row],[order_date]],"mmmm")</f>
        <v>February</v>
      </c>
      <c r="D417" s="1" t="s">
        <v>13</v>
      </c>
      <c r="E417" s="1" t="s">
        <v>19</v>
      </c>
      <c r="F417" s="1">
        <v>1</v>
      </c>
      <c r="G417" s="1">
        <v>313.29000000000002</v>
      </c>
      <c r="H417" s="2">
        <v>0.13</v>
      </c>
      <c r="I417" s="1" t="s">
        <v>16</v>
      </c>
      <c r="J417" s="1">
        <v>4.3</v>
      </c>
      <c r="K417" s="23">
        <v>272.56</v>
      </c>
    </row>
    <row r="418" spans="1:11" x14ac:dyDescent="0.3">
      <c r="A418" s="1">
        <v>10417</v>
      </c>
      <c r="B418" s="3">
        <v>44978</v>
      </c>
      <c r="C418" s="3" t="str">
        <f>TEXT(Table1[[#This Row],[order_date]],"mmmm")</f>
        <v>February</v>
      </c>
      <c r="D418" s="1" t="s">
        <v>10</v>
      </c>
      <c r="E418" s="1" t="s">
        <v>15</v>
      </c>
      <c r="F418" s="1">
        <v>2</v>
      </c>
      <c r="G418" s="1">
        <v>519.87</v>
      </c>
      <c r="H418" s="2">
        <v>0.15</v>
      </c>
      <c r="I418" s="1" t="s">
        <v>16</v>
      </c>
      <c r="J418" s="1">
        <v>4.5</v>
      </c>
      <c r="K418" s="23">
        <v>883.78</v>
      </c>
    </row>
    <row r="419" spans="1:11" x14ac:dyDescent="0.3">
      <c r="A419" s="1">
        <v>10418</v>
      </c>
      <c r="B419" s="3">
        <v>44979</v>
      </c>
      <c r="C419" s="3" t="str">
        <f>TEXT(Table1[[#This Row],[order_date]],"mmmm")</f>
        <v>February</v>
      </c>
      <c r="D419" s="1" t="s">
        <v>17</v>
      </c>
      <c r="E419" s="1" t="s">
        <v>11</v>
      </c>
      <c r="F419" s="1">
        <v>3</v>
      </c>
      <c r="G419" s="1">
        <v>258.75</v>
      </c>
      <c r="H419" s="2">
        <v>0.14000000000000001</v>
      </c>
      <c r="I419" s="1" t="s">
        <v>12</v>
      </c>
      <c r="J419" s="1">
        <v>4.9000000000000004</v>
      </c>
      <c r="K419" s="23">
        <v>667.58</v>
      </c>
    </row>
    <row r="420" spans="1:11" x14ac:dyDescent="0.3">
      <c r="A420" s="1">
        <v>10419</v>
      </c>
      <c r="B420" s="3">
        <v>44980</v>
      </c>
      <c r="C420" s="3" t="str">
        <f>TEXT(Table1[[#This Row],[order_date]],"mmmm")</f>
        <v>February</v>
      </c>
      <c r="D420" s="1" t="s">
        <v>13</v>
      </c>
      <c r="E420" s="1" t="s">
        <v>15</v>
      </c>
      <c r="F420" s="1">
        <v>4</v>
      </c>
      <c r="G420" s="1">
        <v>450.16</v>
      </c>
      <c r="H420" s="2">
        <v>0.34</v>
      </c>
      <c r="I420" s="1" t="s">
        <v>12</v>
      </c>
      <c r="J420" s="1">
        <v>4.4000000000000004</v>
      </c>
      <c r="K420" s="23">
        <v>1188.42</v>
      </c>
    </row>
    <row r="421" spans="1:11" x14ac:dyDescent="0.3">
      <c r="A421" s="1">
        <v>10420</v>
      </c>
      <c r="B421" s="3">
        <v>44981</v>
      </c>
      <c r="C421" s="3" t="str">
        <f>TEXT(Table1[[#This Row],[order_date]],"mmmm")</f>
        <v>February</v>
      </c>
      <c r="D421" s="1" t="s">
        <v>20</v>
      </c>
      <c r="E421" s="1" t="s">
        <v>19</v>
      </c>
      <c r="F421" s="1">
        <v>7</v>
      </c>
      <c r="G421" s="1">
        <v>515.98</v>
      </c>
      <c r="H421" s="2">
        <v>0.27</v>
      </c>
      <c r="I421" s="1" t="s">
        <v>14</v>
      </c>
      <c r="J421" s="1">
        <v>2.8</v>
      </c>
      <c r="K421" s="23">
        <v>2636.66</v>
      </c>
    </row>
    <row r="422" spans="1:11" x14ac:dyDescent="0.3">
      <c r="A422" s="1">
        <v>10421</v>
      </c>
      <c r="B422" s="3">
        <v>44982</v>
      </c>
      <c r="C422" s="3" t="str">
        <f>TEXT(Table1[[#This Row],[order_date]],"mmmm")</f>
        <v>February</v>
      </c>
      <c r="D422" s="1" t="s">
        <v>10</v>
      </c>
      <c r="E422" s="1" t="s">
        <v>19</v>
      </c>
      <c r="F422" s="1">
        <v>7</v>
      </c>
      <c r="G422" s="1">
        <v>196.36</v>
      </c>
      <c r="H422" s="2">
        <v>7.0000000000000007E-2</v>
      </c>
      <c r="I422" s="1" t="s">
        <v>12</v>
      </c>
      <c r="J422" s="1">
        <v>3.8</v>
      </c>
      <c r="K422" s="23">
        <v>1278.3</v>
      </c>
    </row>
    <row r="423" spans="1:11" x14ac:dyDescent="0.3">
      <c r="A423" s="1">
        <v>10422</v>
      </c>
      <c r="B423" s="3">
        <v>44983</v>
      </c>
      <c r="C423" s="3" t="str">
        <f>TEXT(Table1[[#This Row],[order_date]],"mmmm")</f>
        <v>February</v>
      </c>
      <c r="D423" s="1" t="s">
        <v>17</v>
      </c>
      <c r="E423" s="1" t="s">
        <v>11</v>
      </c>
      <c r="F423" s="1">
        <v>5</v>
      </c>
      <c r="G423" s="1">
        <v>244.76</v>
      </c>
      <c r="H423" s="2">
        <v>0.13</v>
      </c>
      <c r="I423" s="1" t="s">
        <v>16</v>
      </c>
      <c r="J423" s="1">
        <v>2.9</v>
      </c>
      <c r="K423" s="23">
        <v>1064.71</v>
      </c>
    </row>
    <row r="424" spans="1:11" x14ac:dyDescent="0.3">
      <c r="A424" s="1">
        <v>10423</v>
      </c>
      <c r="B424" s="3">
        <v>44984</v>
      </c>
      <c r="C424" s="3" t="str">
        <f>TEXT(Table1[[#This Row],[order_date]],"mmmm")</f>
        <v>February</v>
      </c>
      <c r="D424" s="1" t="s">
        <v>20</v>
      </c>
      <c r="E424" s="1" t="s">
        <v>11</v>
      </c>
      <c r="F424" s="1">
        <v>2</v>
      </c>
      <c r="G424" s="1">
        <v>223.59</v>
      </c>
      <c r="H424" s="2">
        <v>0.19</v>
      </c>
      <c r="I424" s="1" t="s">
        <v>16</v>
      </c>
      <c r="J424" s="1">
        <v>2.4</v>
      </c>
      <c r="K424" s="23">
        <v>362.22</v>
      </c>
    </row>
    <row r="425" spans="1:11" x14ac:dyDescent="0.3">
      <c r="A425" s="1">
        <v>10424</v>
      </c>
      <c r="B425" s="3">
        <v>44985</v>
      </c>
      <c r="C425" s="3" t="str">
        <f>TEXT(Table1[[#This Row],[order_date]],"mmmm")</f>
        <v>February</v>
      </c>
      <c r="D425" s="1" t="s">
        <v>13</v>
      </c>
      <c r="E425" s="1" t="s">
        <v>11</v>
      </c>
      <c r="F425" s="1">
        <v>4</v>
      </c>
      <c r="G425" s="1">
        <v>502.22</v>
      </c>
      <c r="H425" s="2">
        <v>0.21</v>
      </c>
      <c r="I425" s="1" t="s">
        <v>14</v>
      </c>
      <c r="J425" s="1">
        <v>3.5</v>
      </c>
      <c r="K425" s="23">
        <v>1587.02</v>
      </c>
    </row>
    <row r="426" spans="1:11" x14ac:dyDescent="0.3">
      <c r="A426" s="1">
        <v>10425</v>
      </c>
      <c r="B426" s="3">
        <v>44986</v>
      </c>
      <c r="C426" s="3" t="str">
        <f>TEXT(Table1[[#This Row],[order_date]],"mmmm")</f>
        <v>March</v>
      </c>
      <c r="D426" s="1" t="s">
        <v>13</v>
      </c>
      <c r="E426" s="1" t="s">
        <v>18</v>
      </c>
      <c r="F426" s="1">
        <v>4</v>
      </c>
      <c r="G426" s="1">
        <v>40.94</v>
      </c>
      <c r="H426" s="2">
        <v>0.16</v>
      </c>
      <c r="I426" s="1" t="s">
        <v>16</v>
      </c>
      <c r="J426" s="1">
        <v>4.0999999999999996</v>
      </c>
      <c r="K426" s="23">
        <v>137.56</v>
      </c>
    </row>
    <row r="427" spans="1:11" x14ac:dyDescent="0.3">
      <c r="A427" s="1">
        <v>10426</v>
      </c>
      <c r="B427" s="3">
        <v>44987</v>
      </c>
      <c r="C427" s="3" t="str">
        <f>TEXT(Table1[[#This Row],[order_date]],"mmmm")</f>
        <v>March</v>
      </c>
      <c r="D427" s="1" t="s">
        <v>17</v>
      </c>
      <c r="E427" s="1" t="s">
        <v>18</v>
      </c>
      <c r="F427" s="1">
        <v>2</v>
      </c>
      <c r="G427" s="1">
        <v>195.43</v>
      </c>
      <c r="H427" s="2">
        <v>0.28000000000000003</v>
      </c>
      <c r="I427" s="1" t="s">
        <v>12</v>
      </c>
      <c r="J427" s="1">
        <v>3.5</v>
      </c>
      <c r="K427" s="23">
        <v>281.42</v>
      </c>
    </row>
    <row r="428" spans="1:11" x14ac:dyDescent="0.3">
      <c r="A428" s="1">
        <v>10427</v>
      </c>
      <c r="B428" s="3">
        <v>44988</v>
      </c>
      <c r="C428" s="3" t="str">
        <f>TEXT(Table1[[#This Row],[order_date]],"mmmm")</f>
        <v>March</v>
      </c>
      <c r="D428" s="1" t="s">
        <v>10</v>
      </c>
      <c r="E428" s="1" t="s">
        <v>19</v>
      </c>
      <c r="F428" s="1">
        <v>1</v>
      </c>
      <c r="G428" s="1">
        <v>412.45</v>
      </c>
      <c r="H428" s="2">
        <v>0.27</v>
      </c>
      <c r="I428" s="1" t="s">
        <v>16</v>
      </c>
      <c r="J428" s="1">
        <v>4.3</v>
      </c>
      <c r="K428" s="23">
        <v>301.08999999999997</v>
      </c>
    </row>
    <row r="429" spans="1:11" x14ac:dyDescent="0.3">
      <c r="A429" s="1">
        <v>10428</v>
      </c>
      <c r="B429" s="3">
        <v>44989</v>
      </c>
      <c r="C429" s="3" t="str">
        <f>TEXT(Table1[[#This Row],[order_date]],"mmmm")</f>
        <v>March</v>
      </c>
      <c r="D429" s="1" t="s">
        <v>17</v>
      </c>
      <c r="E429" s="1" t="s">
        <v>18</v>
      </c>
      <c r="F429" s="1">
        <v>1</v>
      </c>
      <c r="G429" s="1">
        <v>345.78</v>
      </c>
      <c r="H429" s="2">
        <v>0.18</v>
      </c>
      <c r="I429" s="1" t="s">
        <v>16</v>
      </c>
      <c r="J429" s="1">
        <v>1.7</v>
      </c>
      <c r="K429" s="23">
        <v>283.54000000000002</v>
      </c>
    </row>
    <row r="430" spans="1:11" x14ac:dyDescent="0.3">
      <c r="A430" s="1">
        <v>10429</v>
      </c>
      <c r="B430" s="3">
        <v>44990</v>
      </c>
      <c r="C430" s="3" t="str">
        <f>TEXT(Table1[[#This Row],[order_date]],"mmmm")</f>
        <v>March</v>
      </c>
      <c r="D430" s="1" t="s">
        <v>17</v>
      </c>
      <c r="E430" s="1" t="s">
        <v>18</v>
      </c>
      <c r="F430" s="1">
        <v>5</v>
      </c>
      <c r="G430" s="1">
        <v>270.23</v>
      </c>
      <c r="H430" s="2">
        <v>0.3</v>
      </c>
      <c r="I430" s="1" t="s">
        <v>14</v>
      </c>
      <c r="J430" s="1">
        <v>2.5</v>
      </c>
      <c r="K430" s="23">
        <v>945.8</v>
      </c>
    </row>
    <row r="431" spans="1:11" x14ac:dyDescent="0.3">
      <c r="A431" s="1">
        <v>10430</v>
      </c>
      <c r="B431" s="3">
        <v>44991</v>
      </c>
      <c r="C431" s="3" t="str">
        <f>TEXT(Table1[[#This Row],[order_date]],"mmmm")</f>
        <v>March</v>
      </c>
      <c r="D431" s="1" t="s">
        <v>17</v>
      </c>
      <c r="E431" s="1" t="s">
        <v>15</v>
      </c>
      <c r="F431" s="1">
        <v>1</v>
      </c>
      <c r="G431" s="1">
        <v>330.87</v>
      </c>
      <c r="H431" s="2">
        <v>0.26</v>
      </c>
      <c r="I431" s="1" t="s">
        <v>14</v>
      </c>
      <c r="J431" s="1">
        <v>2.2999999999999998</v>
      </c>
      <c r="K431" s="23">
        <v>244.84</v>
      </c>
    </row>
    <row r="432" spans="1:11" x14ac:dyDescent="0.3">
      <c r="A432" s="1">
        <v>10431</v>
      </c>
      <c r="B432" s="3">
        <v>44992</v>
      </c>
      <c r="C432" s="3" t="str">
        <f>TEXT(Table1[[#This Row],[order_date]],"mmmm")</f>
        <v>March</v>
      </c>
      <c r="D432" s="1" t="s">
        <v>10</v>
      </c>
      <c r="E432" s="1" t="s">
        <v>18</v>
      </c>
      <c r="F432" s="1">
        <v>5</v>
      </c>
      <c r="G432" s="1">
        <v>130.59</v>
      </c>
      <c r="H432" s="2">
        <v>0.27</v>
      </c>
      <c r="I432" s="1" t="s">
        <v>14</v>
      </c>
      <c r="J432" s="1">
        <v>1.8</v>
      </c>
      <c r="K432" s="23">
        <v>476.65</v>
      </c>
    </row>
    <row r="433" spans="1:11" x14ac:dyDescent="0.3">
      <c r="A433" s="1">
        <v>10432</v>
      </c>
      <c r="B433" s="3">
        <v>44993</v>
      </c>
      <c r="C433" s="3" t="str">
        <f>TEXT(Table1[[#This Row],[order_date]],"mmmm")</f>
        <v>March</v>
      </c>
      <c r="D433" s="1" t="s">
        <v>20</v>
      </c>
      <c r="E433" s="1" t="s">
        <v>15</v>
      </c>
      <c r="F433" s="1">
        <v>3</v>
      </c>
      <c r="G433" s="1">
        <v>266.97000000000003</v>
      </c>
      <c r="H433" s="2">
        <v>0.33</v>
      </c>
      <c r="I433" s="1" t="s">
        <v>14</v>
      </c>
      <c r="J433" s="1">
        <v>2.8</v>
      </c>
      <c r="K433" s="23">
        <v>536.61</v>
      </c>
    </row>
    <row r="434" spans="1:11" x14ac:dyDescent="0.3">
      <c r="A434" s="1">
        <v>10433</v>
      </c>
      <c r="B434" s="3">
        <v>44994</v>
      </c>
      <c r="C434" s="3" t="str">
        <f>TEXT(Table1[[#This Row],[order_date]],"mmmm")</f>
        <v>March</v>
      </c>
      <c r="D434" s="1" t="s">
        <v>20</v>
      </c>
      <c r="E434" s="1" t="s">
        <v>11</v>
      </c>
      <c r="F434" s="1">
        <v>2</v>
      </c>
      <c r="G434" s="1">
        <v>308.5</v>
      </c>
      <c r="H434" s="2">
        <v>0.09</v>
      </c>
      <c r="I434" s="1" t="s">
        <v>16</v>
      </c>
      <c r="J434" s="1">
        <v>4.8</v>
      </c>
      <c r="K434" s="23">
        <v>561.47</v>
      </c>
    </row>
    <row r="435" spans="1:11" x14ac:dyDescent="0.3">
      <c r="A435" s="1">
        <v>10434</v>
      </c>
      <c r="B435" s="3">
        <v>44995</v>
      </c>
      <c r="C435" s="3" t="str">
        <f>TEXT(Table1[[#This Row],[order_date]],"mmmm")</f>
        <v>March</v>
      </c>
      <c r="D435" s="1" t="s">
        <v>17</v>
      </c>
      <c r="E435" s="1" t="s">
        <v>15</v>
      </c>
      <c r="F435" s="1">
        <v>4</v>
      </c>
      <c r="G435" s="1">
        <v>542.20000000000005</v>
      </c>
      <c r="H435" s="2">
        <v>0.09</v>
      </c>
      <c r="I435" s="1" t="s">
        <v>14</v>
      </c>
      <c r="J435" s="1">
        <v>3.2</v>
      </c>
      <c r="K435" s="23">
        <v>1973.61</v>
      </c>
    </row>
    <row r="436" spans="1:11" x14ac:dyDescent="0.3">
      <c r="A436" s="1">
        <v>10435</v>
      </c>
      <c r="B436" s="3">
        <v>44996</v>
      </c>
      <c r="C436" s="3" t="str">
        <f>TEXT(Table1[[#This Row],[order_date]],"mmmm")</f>
        <v>March</v>
      </c>
      <c r="D436" s="1" t="s">
        <v>13</v>
      </c>
      <c r="E436" s="1" t="s">
        <v>15</v>
      </c>
      <c r="F436" s="1">
        <v>5</v>
      </c>
      <c r="G436" s="1">
        <v>167.59</v>
      </c>
      <c r="H436" s="2">
        <v>0.31</v>
      </c>
      <c r="I436" s="1" t="s">
        <v>16</v>
      </c>
      <c r="J436" s="1">
        <v>2.1</v>
      </c>
      <c r="K436" s="23">
        <v>578.19000000000005</v>
      </c>
    </row>
    <row r="437" spans="1:11" x14ac:dyDescent="0.3">
      <c r="A437" s="1">
        <v>10436</v>
      </c>
      <c r="B437" s="3">
        <v>44997</v>
      </c>
      <c r="C437" s="3" t="str">
        <f>TEXT(Table1[[#This Row],[order_date]],"mmmm")</f>
        <v>March</v>
      </c>
      <c r="D437" s="1" t="s">
        <v>13</v>
      </c>
      <c r="E437" s="1" t="s">
        <v>11</v>
      </c>
      <c r="F437" s="1">
        <v>7</v>
      </c>
      <c r="G437" s="1">
        <v>522.67999999999995</v>
      </c>
      <c r="H437" s="2">
        <v>0.27</v>
      </c>
      <c r="I437" s="1" t="s">
        <v>14</v>
      </c>
      <c r="J437" s="1">
        <v>2.4</v>
      </c>
      <c r="K437" s="23">
        <v>2670.89</v>
      </c>
    </row>
    <row r="438" spans="1:11" x14ac:dyDescent="0.3">
      <c r="A438" s="1">
        <v>10437</v>
      </c>
      <c r="B438" s="3">
        <v>44998</v>
      </c>
      <c r="C438" s="3" t="str">
        <f>TEXT(Table1[[#This Row],[order_date]],"mmmm")</f>
        <v>March</v>
      </c>
      <c r="D438" s="1" t="s">
        <v>20</v>
      </c>
      <c r="E438" s="1" t="s">
        <v>11</v>
      </c>
      <c r="F438" s="1">
        <v>1</v>
      </c>
      <c r="G438" s="1">
        <v>391.88</v>
      </c>
      <c r="H438" s="2">
        <v>0.32</v>
      </c>
      <c r="I438" s="1" t="s">
        <v>14</v>
      </c>
      <c r="J438" s="1">
        <v>3.5</v>
      </c>
      <c r="K438" s="23">
        <v>266.48</v>
      </c>
    </row>
    <row r="439" spans="1:11" x14ac:dyDescent="0.3">
      <c r="A439" s="1">
        <v>10438</v>
      </c>
      <c r="B439" s="3">
        <v>44999</v>
      </c>
      <c r="C439" s="3" t="str">
        <f>TEXT(Table1[[#This Row],[order_date]],"mmmm")</f>
        <v>March</v>
      </c>
      <c r="D439" s="1" t="s">
        <v>10</v>
      </c>
      <c r="E439" s="1" t="s">
        <v>19</v>
      </c>
      <c r="F439" s="1">
        <v>7</v>
      </c>
      <c r="G439" s="1">
        <v>26.9</v>
      </c>
      <c r="H439" s="2">
        <v>0.02</v>
      </c>
      <c r="I439" s="1" t="s">
        <v>14</v>
      </c>
      <c r="J439" s="1">
        <v>2.4</v>
      </c>
      <c r="K439" s="23">
        <v>184.53</v>
      </c>
    </row>
    <row r="440" spans="1:11" x14ac:dyDescent="0.3">
      <c r="A440" s="1">
        <v>10439</v>
      </c>
      <c r="B440" s="3">
        <v>45000</v>
      </c>
      <c r="C440" s="3" t="str">
        <f>TEXT(Table1[[#This Row],[order_date]],"mmmm")</f>
        <v>March</v>
      </c>
      <c r="D440" s="1" t="s">
        <v>17</v>
      </c>
      <c r="E440" s="1" t="s">
        <v>19</v>
      </c>
      <c r="F440" s="1">
        <v>5</v>
      </c>
      <c r="G440" s="1">
        <v>438.91</v>
      </c>
      <c r="H440" s="2">
        <v>0.22</v>
      </c>
      <c r="I440" s="1" t="s">
        <v>12</v>
      </c>
      <c r="J440" s="1">
        <v>3.2</v>
      </c>
      <c r="K440" s="23">
        <v>1711.75</v>
      </c>
    </row>
    <row r="441" spans="1:11" x14ac:dyDescent="0.3">
      <c r="A441" s="1">
        <v>10440</v>
      </c>
      <c r="B441" s="3">
        <v>45001</v>
      </c>
      <c r="C441" s="3" t="str">
        <f>TEXT(Table1[[#This Row],[order_date]],"mmmm")</f>
        <v>March</v>
      </c>
      <c r="D441" s="1" t="s">
        <v>20</v>
      </c>
      <c r="E441" s="1" t="s">
        <v>19</v>
      </c>
      <c r="F441" s="1">
        <v>6</v>
      </c>
      <c r="G441" s="1">
        <v>35.799999999999997</v>
      </c>
      <c r="H441" s="2">
        <v>0.05</v>
      </c>
      <c r="I441" s="1" t="s">
        <v>14</v>
      </c>
      <c r="J441" s="1">
        <v>2.1</v>
      </c>
      <c r="K441" s="23">
        <v>204.06</v>
      </c>
    </row>
    <row r="442" spans="1:11" x14ac:dyDescent="0.3">
      <c r="A442" s="1">
        <v>10441</v>
      </c>
      <c r="B442" s="3">
        <v>45002</v>
      </c>
      <c r="C442" s="3" t="str">
        <f>TEXT(Table1[[#This Row],[order_date]],"mmmm")</f>
        <v>March</v>
      </c>
      <c r="D442" s="1" t="s">
        <v>17</v>
      </c>
      <c r="E442" s="1" t="s">
        <v>19</v>
      </c>
      <c r="F442" s="1">
        <v>5</v>
      </c>
      <c r="G442" s="1">
        <v>598.47</v>
      </c>
      <c r="H442" s="2">
        <v>0.18</v>
      </c>
      <c r="I442" s="1" t="s">
        <v>14</v>
      </c>
      <c r="J442" s="1">
        <v>2.4</v>
      </c>
      <c r="K442" s="23">
        <v>2453.73</v>
      </c>
    </row>
    <row r="443" spans="1:11" x14ac:dyDescent="0.3">
      <c r="A443" s="1">
        <v>10442</v>
      </c>
      <c r="B443" s="3">
        <v>45003</v>
      </c>
      <c r="C443" s="3" t="str">
        <f>TEXT(Table1[[#This Row],[order_date]],"mmmm")</f>
        <v>March</v>
      </c>
      <c r="D443" s="1" t="s">
        <v>13</v>
      </c>
      <c r="E443" s="1" t="s">
        <v>15</v>
      </c>
      <c r="F443" s="1">
        <v>1</v>
      </c>
      <c r="G443" s="1">
        <v>525.49</v>
      </c>
      <c r="H443" s="2">
        <v>0.05</v>
      </c>
      <c r="I443" s="1" t="s">
        <v>12</v>
      </c>
      <c r="J443" s="1">
        <v>3.8</v>
      </c>
      <c r="K443" s="23">
        <v>499.22</v>
      </c>
    </row>
    <row r="444" spans="1:11" x14ac:dyDescent="0.3">
      <c r="A444" s="1">
        <v>10443</v>
      </c>
      <c r="B444" s="3">
        <v>45004</v>
      </c>
      <c r="C444" s="3" t="str">
        <f>TEXT(Table1[[#This Row],[order_date]],"mmmm")</f>
        <v>March</v>
      </c>
      <c r="D444" s="1" t="s">
        <v>17</v>
      </c>
      <c r="E444" s="1" t="s">
        <v>15</v>
      </c>
      <c r="F444" s="1">
        <v>6</v>
      </c>
      <c r="G444" s="1">
        <v>188.95</v>
      </c>
      <c r="H444" s="2">
        <v>0.04</v>
      </c>
      <c r="I444" s="1" t="s">
        <v>12</v>
      </c>
      <c r="J444" s="1">
        <v>3.3</v>
      </c>
      <c r="K444" s="23">
        <v>1088.3499999999999</v>
      </c>
    </row>
    <row r="445" spans="1:11" x14ac:dyDescent="0.3">
      <c r="A445" s="1">
        <v>10444</v>
      </c>
      <c r="B445" s="3">
        <v>45005</v>
      </c>
      <c r="C445" s="3" t="str">
        <f>TEXT(Table1[[#This Row],[order_date]],"mmmm")</f>
        <v>March</v>
      </c>
      <c r="D445" s="1" t="s">
        <v>17</v>
      </c>
      <c r="E445" s="1" t="s">
        <v>19</v>
      </c>
      <c r="F445" s="1">
        <v>6</v>
      </c>
      <c r="G445" s="1">
        <v>165.59</v>
      </c>
      <c r="H445" s="2">
        <v>0</v>
      </c>
      <c r="I445" s="1" t="s">
        <v>16</v>
      </c>
      <c r="J445" s="1">
        <v>1.4</v>
      </c>
      <c r="K445" s="23">
        <v>993.54</v>
      </c>
    </row>
    <row r="446" spans="1:11" x14ac:dyDescent="0.3">
      <c r="A446" s="1">
        <v>10445</v>
      </c>
      <c r="B446" s="3">
        <v>45006</v>
      </c>
      <c r="C446" s="3" t="str">
        <f>TEXT(Table1[[#This Row],[order_date]],"mmmm")</f>
        <v>March</v>
      </c>
      <c r="D446" s="1" t="s">
        <v>13</v>
      </c>
      <c r="E446" s="1" t="s">
        <v>18</v>
      </c>
      <c r="F446" s="1">
        <v>1</v>
      </c>
      <c r="G446" s="1">
        <v>238.14</v>
      </c>
      <c r="H446" s="2">
        <v>0.22</v>
      </c>
      <c r="I446" s="1" t="s">
        <v>14</v>
      </c>
      <c r="J446" s="1">
        <v>4.9000000000000004</v>
      </c>
      <c r="K446" s="23">
        <v>185.75</v>
      </c>
    </row>
    <row r="447" spans="1:11" x14ac:dyDescent="0.3">
      <c r="A447" s="1">
        <v>10446</v>
      </c>
      <c r="B447" s="3">
        <v>45007</v>
      </c>
      <c r="C447" s="3" t="str">
        <f>TEXT(Table1[[#This Row],[order_date]],"mmmm")</f>
        <v>March</v>
      </c>
      <c r="D447" s="1" t="s">
        <v>13</v>
      </c>
      <c r="E447" s="1" t="s">
        <v>19</v>
      </c>
      <c r="F447" s="1">
        <v>6</v>
      </c>
      <c r="G447" s="1">
        <v>223.36</v>
      </c>
      <c r="H447" s="2">
        <v>0.13</v>
      </c>
      <c r="I447" s="1" t="s">
        <v>14</v>
      </c>
      <c r="J447" s="1">
        <v>1.2</v>
      </c>
      <c r="K447" s="23">
        <v>1165.94</v>
      </c>
    </row>
    <row r="448" spans="1:11" x14ac:dyDescent="0.3">
      <c r="A448" s="1">
        <v>10447</v>
      </c>
      <c r="B448" s="3">
        <v>45008</v>
      </c>
      <c r="C448" s="3" t="str">
        <f>TEXT(Table1[[#This Row],[order_date]],"mmmm")</f>
        <v>March</v>
      </c>
      <c r="D448" s="1" t="s">
        <v>17</v>
      </c>
      <c r="E448" s="1" t="s">
        <v>18</v>
      </c>
      <c r="F448" s="1">
        <v>2</v>
      </c>
      <c r="G448" s="1">
        <v>232.82</v>
      </c>
      <c r="H448" s="2">
        <v>0.04</v>
      </c>
      <c r="I448" s="1" t="s">
        <v>12</v>
      </c>
      <c r="J448" s="1">
        <v>1.3</v>
      </c>
      <c r="K448" s="23">
        <v>447.01</v>
      </c>
    </row>
    <row r="449" spans="1:11" x14ac:dyDescent="0.3">
      <c r="A449" s="1">
        <v>10448</v>
      </c>
      <c r="B449" s="3">
        <v>45009</v>
      </c>
      <c r="C449" s="3" t="str">
        <f>TEXT(Table1[[#This Row],[order_date]],"mmmm")</f>
        <v>March</v>
      </c>
      <c r="D449" s="1" t="s">
        <v>20</v>
      </c>
      <c r="E449" s="1" t="s">
        <v>11</v>
      </c>
      <c r="F449" s="1">
        <v>4</v>
      </c>
      <c r="G449" s="1">
        <v>201.19</v>
      </c>
      <c r="H449" s="2">
        <v>0.11</v>
      </c>
      <c r="I449" s="1" t="s">
        <v>12</v>
      </c>
      <c r="J449" s="1">
        <v>3.8</v>
      </c>
      <c r="K449" s="23">
        <v>716.24</v>
      </c>
    </row>
    <row r="450" spans="1:11" x14ac:dyDescent="0.3">
      <c r="A450" s="1">
        <v>10449</v>
      </c>
      <c r="B450" s="3">
        <v>45010</v>
      </c>
      <c r="C450" s="3" t="str">
        <f>TEXT(Table1[[#This Row],[order_date]],"mmmm")</f>
        <v>March</v>
      </c>
      <c r="D450" s="1" t="s">
        <v>13</v>
      </c>
      <c r="E450" s="1" t="s">
        <v>15</v>
      </c>
      <c r="F450" s="1">
        <v>7</v>
      </c>
      <c r="G450" s="1">
        <v>378.36</v>
      </c>
      <c r="H450" s="2">
        <v>0.06</v>
      </c>
      <c r="I450" s="1" t="s">
        <v>16</v>
      </c>
      <c r="J450" s="1">
        <v>3.8</v>
      </c>
      <c r="K450" s="23">
        <v>2489.61</v>
      </c>
    </row>
    <row r="451" spans="1:11" x14ac:dyDescent="0.3">
      <c r="A451" s="1">
        <v>10450</v>
      </c>
      <c r="B451" s="3">
        <v>45011</v>
      </c>
      <c r="C451" s="3" t="str">
        <f>TEXT(Table1[[#This Row],[order_date]],"mmmm")</f>
        <v>March</v>
      </c>
      <c r="D451" s="1" t="s">
        <v>17</v>
      </c>
      <c r="E451" s="1" t="s">
        <v>15</v>
      </c>
      <c r="F451" s="1">
        <v>2</v>
      </c>
      <c r="G451" s="1">
        <v>111.09</v>
      </c>
      <c r="H451" s="2">
        <v>0.33</v>
      </c>
      <c r="I451" s="1" t="s">
        <v>14</v>
      </c>
      <c r="J451" s="1">
        <v>1.1000000000000001</v>
      </c>
      <c r="K451" s="23">
        <v>148.86000000000001</v>
      </c>
    </row>
    <row r="452" spans="1:11" x14ac:dyDescent="0.3">
      <c r="A452" s="1">
        <v>10451</v>
      </c>
      <c r="B452" s="3">
        <v>45012</v>
      </c>
      <c r="C452" s="3" t="str">
        <f>TEXT(Table1[[#This Row],[order_date]],"mmmm")</f>
        <v>March</v>
      </c>
      <c r="D452" s="1" t="s">
        <v>20</v>
      </c>
      <c r="E452" s="1" t="s">
        <v>18</v>
      </c>
      <c r="F452" s="1">
        <v>2</v>
      </c>
      <c r="G452" s="1">
        <v>509.9</v>
      </c>
      <c r="H452" s="2">
        <v>0.11</v>
      </c>
      <c r="I452" s="1" t="s">
        <v>14</v>
      </c>
      <c r="J452" s="1">
        <v>3.6</v>
      </c>
      <c r="K452" s="23">
        <v>907.62</v>
      </c>
    </row>
    <row r="453" spans="1:11" x14ac:dyDescent="0.3">
      <c r="A453" s="1">
        <v>10452</v>
      </c>
      <c r="B453" s="3">
        <v>45013</v>
      </c>
      <c r="C453" s="3" t="str">
        <f>TEXT(Table1[[#This Row],[order_date]],"mmmm")</f>
        <v>March</v>
      </c>
      <c r="D453" s="1" t="s">
        <v>17</v>
      </c>
      <c r="E453" s="1" t="s">
        <v>19</v>
      </c>
      <c r="F453" s="1">
        <v>1</v>
      </c>
      <c r="G453" s="1">
        <v>490.26</v>
      </c>
      <c r="H453" s="2">
        <v>0.12</v>
      </c>
      <c r="I453" s="1" t="s">
        <v>14</v>
      </c>
      <c r="J453" s="1">
        <v>1.1000000000000001</v>
      </c>
      <c r="K453" s="23">
        <v>431.43</v>
      </c>
    </row>
    <row r="454" spans="1:11" x14ac:dyDescent="0.3">
      <c r="A454" s="1">
        <v>10453</v>
      </c>
      <c r="B454" s="3">
        <v>45014</v>
      </c>
      <c r="C454" s="3" t="str">
        <f>TEXT(Table1[[#This Row],[order_date]],"mmmm")</f>
        <v>March</v>
      </c>
      <c r="D454" s="1" t="s">
        <v>13</v>
      </c>
      <c r="E454" s="1" t="s">
        <v>15</v>
      </c>
      <c r="F454" s="1">
        <v>1</v>
      </c>
      <c r="G454" s="1">
        <v>293.74</v>
      </c>
      <c r="H454" s="2">
        <v>0.28999999999999998</v>
      </c>
      <c r="I454" s="1" t="s">
        <v>16</v>
      </c>
      <c r="J454" s="1">
        <v>4.8</v>
      </c>
      <c r="K454" s="23">
        <v>208.56</v>
      </c>
    </row>
    <row r="455" spans="1:11" x14ac:dyDescent="0.3">
      <c r="A455" s="1">
        <v>10454</v>
      </c>
      <c r="B455" s="3">
        <v>45015</v>
      </c>
      <c r="C455" s="3" t="str">
        <f>TEXT(Table1[[#This Row],[order_date]],"mmmm")</f>
        <v>March</v>
      </c>
      <c r="D455" s="1" t="s">
        <v>20</v>
      </c>
      <c r="E455" s="1" t="s">
        <v>18</v>
      </c>
      <c r="F455" s="1">
        <v>7</v>
      </c>
      <c r="G455" s="1">
        <v>513.85</v>
      </c>
      <c r="H455" s="2">
        <v>0.23</v>
      </c>
      <c r="I455" s="1" t="s">
        <v>14</v>
      </c>
      <c r="J455" s="1">
        <v>3.8</v>
      </c>
      <c r="K455" s="23">
        <v>2769.65</v>
      </c>
    </row>
    <row r="456" spans="1:11" x14ac:dyDescent="0.3">
      <c r="A456" s="1">
        <v>10455</v>
      </c>
      <c r="B456" s="3">
        <v>45016</v>
      </c>
      <c r="C456" s="3" t="str">
        <f>TEXT(Table1[[#This Row],[order_date]],"mmmm")</f>
        <v>March</v>
      </c>
      <c r="D456" s="1" t="s">
        <v>17</v>
      </c>
      <c r="E456" s="1" t="s">
        <v>11</v>
      </c>
      <c r="F456" s="1">
        <v>4</v>
      </c>
      <c r="G456" s="1">
        <v>159.58000000000001</v>
      </c>
      <c r="H456" s="2">
        <v>0.25</v>
      </c>
      <c r="I456" s="1" t="s">
        <v>12</v>
      </c>
      <c r="J456" s="1">
        <v>1.7</v>
      </c>
      <c r="K456" s="23">
        <v>478.74</v>
      </c>
    </row>
    <row r="457" spans="1:11" x14ac:dyDescent="0.3">
      <c r="A457" s="1">
        <v>10456</v>
      </c>
      <c r="B457" s="3">
        <v>45017</v>
      </c>
      <c r="C457" s="3" t="str">
        <f>TEXT(Table1[[#This Row],[order_date]],"mmmm")</f>
        <v>April</v>
      </c>
      <c r="D457" s="1" t="s">
        <v>17</v>
      </c>
      <c r="E457" s="1" t="s">
        <v>11</v>
      </c>
      <c r="F457" s="1">
        <v>5</v>
      </c>
      <c r="G457" s="1">
        <v>25.28</v>
      </c>
      <c r="H457" s="2">
        <v>0.22</v>
      </c>
      <c r="I457" s="1" t="s">
        <v>14</v>
      </c>
      <c r="J457" s="1">
        <v>1.6</v>
      </c>
      <c r="K457" s="23">
        <v>98.59</v>
      </c>
    </row>
    <row r="458" spans="1:11" x14ac:dyDescent="0.3">
      <c r="A458" s="1">
        <v>10457</v>
      </c>
      <c r="B458" s="3">
        <v>45018</v>
      </c>
      <c r="C458" s="3" t="str">
        <f>TEXT(Table1[[#This Row],[order_date]],"mmmm")</f>
        <v>April</v>
      </c>
      <c r="D458" s="1" t="s">
        <v>13</v>
      </c>
      <c r="E458" s="1" t="s">
        <v>15</v>
      </c>
      <c r="F458" s="1">
        <v>2</v>
      </c>
      <c r="G458" s="1">
        <v>377.24</v>
      </c>
      <c r="H458" s="2">
        <v>0.33</v>
      </c>
      <c r="I458" s="1" t="s">
        <v>16</v>
      </c>
      <c r="J458" s="1">
        <v>3.3</v>
      </c>
      <c r="K458" s="23">
        <v>505.5</v>
      </c>
    </row>
    <row r="459" spans="1:11" x14ac:dyDescent="0.3">
      <c r="A459" s="1">
        <v>10458</v>
      </c>
      <c r="B459" s="3">
        <v>45019</v>
      </c>
      <c r="C459" s="3" t="str">
        <f>TEXT(Table1[[#This Row],[order_date]],"mmmm")</f>
        <v>April</v>
      </c>
      <c r="D459" s="1" t="s">
        <v>10</v>
      </c>
      <c r="E459" s="1" t="s">
        <v>19</v>
      </c>
      <c r="F459" s="1">
        <v>6</v>
      </c>
      <c r="G459" s="1">
        <v>282.88</v>
      </c>
      <c r="H459" s="2">
        <v>7.0000000000000007E-2</v>
      </c>
      <c r="I459" s="1" t="s">
        <v>14</v>
      </c>
      <c r="J459" s="1">
        <v>3.5</v>
      </c>
      <c r="K459" s="23">
        <v>1578.47</v>
      </c>
    </row>
    <row r="460" spans="1:11" x14ac:dyDescent="0.3">
      <c r="A460" s="1">
        <v>10459</v>
      </c>
      <c r="B460" s="3">
        <v>45020</v>
      </c>
      <c r="C460" s="3" t="str">
        <f>TEXT(Table1[[#This Row],[order_date]],"mmmm")</f>
        <v>April</v>
      </c>
      <c r="D460" s="1" t="s">
        <v>13</v>
      </c>
      <c r="E460" s="1" t="s">
        <v>18</v>
      </c>
      <c r="F460" s="1">
        <v>4</v>
      </c>
      <c r="G460" s="1">
        <v>346.79</v>
      </c>
      <c r="H460" s="2">
        <v>0.35</v>
      </c>
      <c r="I460" s="1" t="s">
        <v>16</v>
      </c>
      <c r="J460" s="1">
        <v>4.3</v>
      </c>
      <c r="K460" s="23">
        <v>901.65</v>
      </c>
    </row>
    <row r="461" spans="1:11" x14ac:dyDescent="0.3">
      <c r="A461" s="1">
        <v>10460</v>
      </c>
      <c r="B461" s="3">
        <v>45021</v>
      </c>
      <c r="C461" s="3" t="str">
        <f>TEXT(Table1[[#This Row],[order_date]],"mmmm")</f>
        <v>April</v>
      </c>
      <c r="D461" s="1" t="s">
        <v>20</v>
      </c>
      <c r="E461" s="1" t="s">
        <v>15</v>
      </c>
      <c r="F461" s="1">
        <v>2</v>
      </c>
      <c r="G461" s="1">
        <v>541.11</v>
      </c>
      <c r="H461" s="2">
        <v>0.28999999999999998</v>
      </c>
      <c r="I461" s="1" t="s">
        <v>14</v>
      </c>
      <c r="J461" s="1">
        <v>4.5999999999999996</v>
      </c>
      <c r="K461" s="23">
        <v>768.38</v>
      </c>
    </row>
    <row r="462" spans="1:11" x14ac:dyDescent="0.3">
      <c r="A462" s="1">
        <v>10461</v>
      </c>
      <c r="B462" s="3">
        <v>45022</v>
      </c>
      <c r="C462" s="3" t="str">
        <f>TEXT(Table1[[#This Row],[order_date]],"mmmm")</f>
        <v>April</v>
      </c>
      <c r="D462" s="1" t="s">
        <v>13</v>
      </c>
      <c r="E462" s="1" t="s">
        <v>11</v>
      </c>
      <c r="F462" s="1">
        <v>5</v>
      </c>
      <c r="G462" s="1">
        <v>582.41</v>
      </c>
      <c r="H462" s="2">
        <v>0.21</v>
      </c>
      <c r="I462" s="1" t="s">
        <v>16</v>
      </c>
      <c r="J462" s="1">
        <v>2.6</v>
      </c>
      <c r="K462" s="23">
        <v>2300.52</v>
      </c>
    </row>
    <row r="463" spans="1:11" x14ac:dyDescent="0.3">
      <c r="A463" s="1">
        <v>10462</v>
      </c>
      <c r="B463" s="3">
        <v>45023</v>
      </c>
      <c r="C463" s="3" t="str">
        <f>TEXT(Table1[[#This Row],[order_date]],"mmmm")</f>
        <v>April</v>
      </c>
      <c r="D463" s="1" t="s">
        <v>17</v>
      </c>
      <c r="E463" s="1" t="s">
        <v>19</v>
      </c>
      <c r="F463" s="1">
        <v>6</v>
      </c>
      <c r="G463" s="1">
        <v>386.16</v>
      </c>
      <c r="H463" s="2">
        <v>0.23</v>
      </c>
      <c r="I463" s="1" t="s">
        <v>16</v>
      </c>
      <c r="J463" s="1">
        <v>4.4000000000000004</v>
      </c>
      <c r="K463" s="23">
        <v>1784.06</v>
      </c>
    </row>
    <row r="464" spans="1:11" x14ac:dyDescent="0.3">
      <c r="A464" s="1">
        <v>10463</v>
      </c>
      <c r="B464" s="3">
        <v>45024</v>
      </c>
      <c r="C464" s="3" t="str">
        <f>TEXT(Table1[[#This Row],[order_date]],"mmmm")</f>
        <v>April</v>
      </c>
      <c r="D464" s="1" t="s">
        <v>13</v>
      </c>
      <c r="E464" s="1" t="s">
        <v>18</v>
      </c>
      <c r="F464" s="1">
        <v>2</v>
      </c>
      <c r="G464" s="1">
        <v>461.97</v>
      </c>
      <c r="H464" s="2">
        <v>0.23</v>
      </c>
      <c r="I464" s="1" t="s">
        <v>14</v>
      </c>
      <c r="J464" s="1">
        <v>3.2</v>
      </c>
      <c r="K464" s="23">
        <v>711.43</v>
      </c>
    </row>
    <row r="465" spans="1:11" x14ac:dyDescent="0.3">
      <c r="A465" s="1">
        <v>10464</v>
      </c>
      <c r="B465" s="3">
        <v>45025</v>
      </c>
      <c r="C465" s="3" t="str">
        <f>TEXT(Table1[[#This Row],[order_date]],"mmmm")</f>
        <v>April</v>
      </c>
      <c r="D465" s="1" t="s">
        <v>20</v>
      </c>
      <c r="E465" s="1" t="s">
        <v>15</v>
      </c>
      <c r="F465" s="1">
        <v>3</v>
      </c>
      <c r="G465" s="1">
        <v>64.03</v>
      </c>
      <c r="H465" s="2">
        <v>0.02</v>
      </c>
      <c r="I465" s="1" t="s">
        <v>12</v>
      </c>
      <c r="J465" s="1">
        <v>2.9</v>
      </c>
      <c r="K465" s="23">
        <v>188.25</v>
      </c>
    </row>
    <row r="466" spans="1:11" x14ac:dyDescent="0.3">
      <c r="A466" s="1">
        <v>10465</v>
      </c>
      <c r="B466" s="3">
        <v>45026</v>
      </c>
      <c r="C466" s="3" t="str">
        <f>TEXT(Table1[[#This Row],[order_date]],"mmmm")</f>
        <v>April</v>
      </c>
      <c r="D466" s="1" t="s">
        <v>17</v>
      </c>
      <c r="E466" s="1" t="s">
        <v>18</v>
      </c>
      <c r="F466" s="1">
        <v>7</v>
      </c>
      <c r="G466" s="1">
        <v>109.02</v>
      </c>
      <c r="H466" s="2">
        <v>0.08</v>
      </c>
      <c r="I466" s="1" t="s">
        <v>16</v>
      </c>
      <c r="J466" s="1">
        <v>3.8</v>
      </c>
      <c r="K466" s="23">
        <v>702.09</v>
      </c>
    </row>
    <row r="467" spans="1:11" x14ac:dyDescent="0.3">
      <c r="A467" s="1">
        <v>10466</v>
      </c>
      <c r="B467" s="3">
        <v>45027</v>
      </c>
      <c r="C467" s="3" t="str">
        <f>TEXT(Table1[[#This Row],[order_date]],"mmmm")</f>
        <v>April</v>
      </c>
      <c r="D467" s="1" t="s">
        <v>17</v>
      </c>
      <c r="E467" s="1" t="s">
        <v>19</v>
      </c>
      <c r="F467" s="1">
        <v>4</v>
      </c>
      <c r="G467" s="1">
        <v>443.92</v>
      </c>
      <c r="H467" s="2">
        <v>0.34</v>
      </c>
      <c r="I467" s="1" t="s">
        <v>12</v>
      </c>
      <c r="J467" s="1">
        <v>1.4</v>
      </c>
      <c r="K467" s="23">
        <v>1171.95</v>
      </c>
    </row>
    <row r="468" spans="1:11" x14ac:dyDescent="0.3">
      <c r="A468" s="1">
        <v>10467</v>
      </c>
      <c r="B468" s="3">
        <v>45028</v>
      </c>
      <c r="C468" s="3" t="str">
        <f>TEXT(Table1[[#This Row],[order_date]],"mmmm")</f>
        <v>April</v>
      </c>
      <c r="D468" s="1" t="s">
        <v>17</v>
      </c>
      <c r="E468" s="1" t="s">
        <v>19</v>
      </c>
      <c r="F468" s="1">
        <v>7</v>
      </c>
      <c r="G468" s="1">
        <v>267.35000000000002</v>
      </c>
      <c r="H468" s="2">
        <v>0.19</v>
      </c>
      <c r="I468" s="1" t="s">
        <v>12</v>
      </c>
      <c r="J468" s="1">
        <v>2.1</v>
      </c>
      <c r="K468" s="23">
        <v>1515.87</v>
      </c>
    </row>
    <row r="469" spans="1:11" x14ac:dyDescent="0.3">
      <c r="A469" s="1">
        <v>10468</v>
      </c>
      <c r="B469" s="3">
        <v>45029</v>
      </c>
      <c r="C469" s="3" t="str">
        <f>TEXT(Table1[[#This Row],[order_date]],"mmmm")</f>
        <v>April</v>
      </c>
      <c r="D469" s="1" t="s">
        <v>13</v>
      </c>
      <c r="E469" s="1" t="s">
        <v>11</v>
      </c>
      <c r="F469" s="1">
        <v>1</v>
      </c>
      <c r="G469" s="1">
        <v>275.89</v>
      </c>
      <c r="H469" s="2">
        <v>0.13</v>
      </c>
      <c r="I469" s="1" t="s">
        <v>12</v>
      </c>
      <c r="J469" s="1">
        <v>4.3</v>
      </c>
      <c r="K469" s="23">
        <v>240.02</v>
      </c>
    </row>
    <row r="470" spans="1:11" x14ac:dyDescent="0.3">
      <c r="A470" s="1">
        <v>10469</v>
      </c>
      <c r="B470" s="3">
        <v>45030</v>
      </c>
      <c r="C470" s="3" t="str">
        <f>TEXT(Table1[[#This Row],[order_date]],"mmmm")</f>
        <v>April</v>
      </c>
      <c r="D470" s="1" t="s">
        <v>10</v>
      </c>
      <c r="E470" s="1" t="s">
        <v>19</v>
      </c>
      <c r="F470" s="1">
        <v>2</v>
      </c>
      <c r="G470" s="1">
        <v>195.54</v>
      </c>
      <c r="H470" s="2">
        <v>0.27</v>
      </c>
      <c r="I470" s="1" t="s">
        <v>14</v>
      </c>
      <c r="J470" s="1">
        <v>3</v>
      </c>
      <c r="K470" s="23">
        <v>285.49</v>
      </c>
    </row>
    <row r="471" spans="1:11" x14ac:dyDescent="0.3">
      <c r="A471" s="1">
        <v>10470</v>
      </c>
      <c r="B471" s="3">
        <v>45031</v>
      </c>
      <c r="C471" s="3" t="str">
        <f>TEXT(Table1[[#This Row],[order_date]],"mmmm")</f>
        <v>April</v>
      </c>
      <c r="D471" s="1" t="s">
        <v>17</v>
      </c>
      <c r="E471" s="1" t="s">
        <v>15</v>
      </c>
      <c r="F471" s="1">
        <v>6</v>
      </c>
      <c r="G471" s="1">
        <v>370.3</v>
      </c>
      <c r="H471" s="2">
        <v>0.18</v>
      </c>
      <c r="I471" s="1" t="s">
        <v>14</v>
      </c>
      <c r="J471" s="1">
        <v>4.5999999999999996</v>
      </c>
      <c r="K471" s="23">
        <v>1821.88</v>
      </c>
    </row>
    <row r="472" spans="1:11" x14ac:dyDescent="0.3">
      <c r="A472" s="1">
        <v>10471</v>
      </c>
      <c r="B472" s="3">
        <v>45032</v>
      </c>
      <c r="C472" s="3" t="str">
        <f>TEXT(Table1[[#This Row],[order_date]],"mmmm")</f>
        <v>April</v>
      </c>
      <c r="D472" s="1" t="s">
        <v>13</v>
      </c>
      <c r="E472" s="1" t="s">
        <v>18</v>
      </c>
      <c r="F472" s="1">
        <v>6</v>
      </c>
      <c r="G472" s="1">
        <v>123.32</v>
      </c>
      <c r="H472" s="2">
        <v>0</v>
      </c>
      <c r="I472" s="1" t="s">
        <v>12</v>
      </c>
      <c r="J472" s="1">
        <v>1.4</v>
      </c>
      <c r="K472" s="23">
        <v>739.92</v>
      </c>
    </row>
    <row r="473" spans="1:11" x14ac:dyDescent="0.3">
      <c r="A473" s="1">
        <v>10472</v>
      </c>
      <c r="B473" s="3">
        <v>45033</v>
      </c>
      <c r="C473" s="3" t="str">
        <f>TEXT(Table1[[#This Row],[order_date]],"mmmm")</f>
        <v>April</v>
      </c>
      <c r="D473" s="1" t="s">
        <v>17</v>
      </c>
      <c r="E473" s="1" t="s">
        <v>19</v>
      </c>
      <c r="F473" s="1">
        <v>4</v>
      </c>
      <c r="G473" s="1">
        <v>381.75</v>
      </c>
      <c r="H473" s="2">
        <v>0.26</v>
      </c>
      <c r="I473" s="1" t="s">
        <v>16</v>
      </c>
      <c r="J473" s="1">
        <v>2.2999999999999998</v>
      </c>
      <c r="K473" s="23">
        <v>1129.98</v>
      </c>
    </row>
    <row r="474" spans="1:11" x14ac:dyDescent="0.3">
      <c r="A474" s="1">
        <v>10473</v>
      </c>
      <c r="B474" s="3">
        <v>45034</v>
      </c>
      <c r="C474" s="3" t="str">
        <f>TEXT(Table1[[#This Row],[order_date]],"mmmm")</f>
        <v>April</v>
      </c>
      <c r="D474" s="1" t="s">
        <v>10</v>
      </c>
      <c r="E474" s="1" t="s">
        <v>19</v>
      </c>
      <c r="F474" s="1">
        <v>4</v>
      </c>
      <c r="G474" s="1">
        <v>116.67</v>
      </c>
      <c r="H474" s="2">
        <v>0.26</v>
      </c>
      <c r="I474" s="1" t="s">
        <v>14</v>
      </c>
      <c r="J474" s="1">
        <v>2.4</v>
      </c>
      <c r="K474" s="23">
        <v>345.34</v>
      </c>
    </row>
    <row r="475" spans="1:11" x14ac:dyDescent="0.3">
      <c r="A475" s="1">
        <v>10474</v>
      </c>
      <c r="B475" s="3">
        <v>45035</v>
      </c>
      <c r="C475" s="3" t="str">
        <f>TEXT(Table1[[#This Row],[order_date]],"mmmm")</f>
        <v>April</v>
      </c>
      <c r="D475" s="1" t="s">
        <v>17</v>
      </c>
      <c r="E475" s="1" t="s">
        <v>15</v>
      </c>
      <c r="F475" s="1">
        <v>7</v>
      </c>
      <c r="G475" s="1">
        <v>52.34</v>
      </c>
      <c r="H475" s="2">
        <v>0.06</v>
      </c>
      <c r="I475" s="1" t="s">
        <v>16</v>
      </c>
      <c r="J475" s="1">
        <v>2.7</v>
      </c>
      <c r="K475" s="23">
        <v>344.4</v>
      </c>
    </row>
    <row r="476" spans="1:11" x14ac:dyDescent="0.3">
      <c r="A476" s="1">
        <v>10475</v>
      </c>
      <c r="B476" s="3">
        <v>45036</v>
      </c>
      <c r="C476" s="3" t="str">
        <f>TEXT(Table1[[#This Row],[order_date]],"mmmm")</f>
        <v>April</v>
      </c>
      <c r="D476" s="1" t="s">
        <v>13</v>
      </c>
      <c r="E476" s="1" t="s">
        <v>18</v>
      </c>
      <c r="F476" s="1">
        <v>6</v>
      </c>
      <c r="G476" s="1">
        <v>208.26</v>
      </c>
      <c r="H476" s="2">
        <v>0.33</v>
      </c>
      <c r="I476" s="1" t="s">
        <v>14</v>
      </c>
      <c r="J476" s="1">
        <v>4.9000000000000004</v>
      </c>
      <c r="K476" s="23">
        <v>837.21</v>
      </c>
    </row>
    <row r="477" spans="1:11" x14ac:dyDescent="0.3">
      <c r="A477" s="1">
        <v>10476</v>
      </c>
      <c r="B477" s="3">
        <v>45037</v>
      </c>
      <c r="C477" s="3" t="str">
        <f>TEXT(Table1[[#This Row],[order_date]],"mmmm")</f>
        <v>April</v>
      </c>
      <c r="D477" s="1" t="s">
        <v>20</v>
      </c>
      <c r="E477" s="1" t="s">
        <v>18</v>
      </c>
      <c r="F477" s="1">
        <v>6</v>
      </c>
      <c r="G477" s="1">
        <v>150.22</v>
      </c>
      <c r="H477" s="2">
        <v>0.08</v>
      </c>
      <c r="I477" s="1" t="s">
        <v>16</v>
      </c>
      <c r="J477" s="1">
        <v>2.2000000000000002</v>
      </c>
      <c r="K477" s="23">
        <v>829.21</v>
      </c>
    </row>
    <row r="478" spans="1:11" x14ac:dyDescent="0.3">
      <c r="A478" s="1">
        <v>10477</v>
      </c>
      <c r="B478" s="3">
        <v>45038</v>
      </c>
      <c r="C478" s="3" t="str">
        <f>TEXT(Table1[[#This Row],[order_date]],"mmmm")</f>
        <v>April</v>
      </c>
      <c r="D478" s="1" t="s">
        <v>20</v>
      </c>
      <c r="E478" s="1" t="s">
        <v>11</v>
      </c>
      <c r="F478" s="1">
        <v>6</v>
      </c>
      <c r="G478" s="1">
        <v>535.05999999999995</v>
      </c>
      <c r="H478" s="2">
        <v>0.16</v>
      </c>
      <c r="I478" s="1" t="s">
        <v>12</v>
      </c>
      <c r="J478" s="1">
        <v>3.1</v>
      </c>
      <c r="K478" s="23">
        <v>2696.7</v>
      </c>
    </row>
    <row r="479" spans="1:11" x14ac:dyDescent="0.3">
      <c r="A479" s="1">
        <v>10478</v>
      </c>
      <c r="B479" s="3">
        <v>45039</v>
      </c>
      <c r="C479" s="3" t="str">
        <f>TEXT(Table1[[#This Row],[order_date]],"mmmm")</f>
        <v>April</v>
      </c>
      <c r="D479" s="1" t="s">
        <v>13</v>
      </c>
      <c r="E479" s="1" t="s">
        <v>11</v>
      </c>
      <c r="F479" s="1">
        <v>2</v>
      </c>
      <c r="G479" s="1">
        <v>47.15</v>
      </c>
      <c r="H479" s="2">
        <v>0.04</v>
      </c>
      <c r="I479" s="1" t="s">
        <v>16</v>
      </c>
      <c r="J479" s="1">
        <v>3.1</v>
      </c>
      <c r="K479" s="23">
        <v>90.53</v>
      </c>
    </row>
    <row r="480" spans="1:11" x14ac:dyDescent="0.3">
      <c r="A480" s="1">
        <v>10479</v>
      </c>
      <c r="B480" s="3">
        <v>45040</v>
      </c>
      <c r="C480" s="3" t="str">
        <f>TEXT(Table1[[#This Row],[order_date]],"mmmm")</f>
        <v>April</v>
      </c>
      <c r="D480" s="1" t="s">
        <v>17</v>
      </c>
      <c r="E480" s="1" t="s">
        <v>18</v>
      </c>
      <c r="F480" s="1">
        <v>6</v>
      </c>
      <c r="G480" s="1">
        <v>118.32</v>
      </c>
      <c r="H480" s="2">
        <v>0.21</v>
      </c>
      <c r="I480" s="1" t="s">
        <v>14</v>
      </c>
      <c r="J480" s="1">
        <v>4.0999999999999996</v>
      </c>
      <c r="K480" s="23">
        <v>560.84</v>
      </c>
    </row>
    <row r="481" spans="1:11" x14ac:dyDescent="0.3">
      <c r="A481" s="1">
        <v>10480</v>
      </c>
      <c r="B481" s="3">
        <v>45041</v>
      </c>
      <c r="C481" s="3" t="str">
        <f>TEXT(Table1[[#This Row],[order_date]],"mmmm")</f>
        <v>April</v>
      </c>
      <c r="D481" s="1" t="s">
        <v>13</v>
      </c>
      <c r="E481" s="1" t="s">
        <v>15</v>
      </c>
      <c r="F481" s="1">
        <v>1</v>
      </c>
      <c r="G481" s="1">
        <v>336</v>
      </c>
      <c r="H481" s="2">
        <v>0.13</v>
      </c>
      <c r="I481" s="1" t="s">
        <v>14</v>
      </c>
      <c r="J481" s="1">
        <v>3.1</v>
      </c>
      <c r="K481" s="23">
        <v>292.32</v>
      </c>
    </row>
    <row r="482" spans="1:11" x14ac:dyDescent="0.3">
      <c r="A482" s="1">
        <v>10481</v>
      </c>
      <c r="B482" s="3">
        <v>45042</v>
      </c>
      <c r="C482" s="3" t="str">
        <f>TEXT(Table1[[#This Row],[order_date]],"mmmm")</f>
        <v>April</v>
      </c>
      <c r="D482" s="1" t="s">
        <v>17</v>
      </c>
      <c r="E482" s="1" t="s">
        <v>15</v>
      </c>
      <c r="F482" s="1">
        <v>6</v>
      </c>
      <c r="G482" s="1">
        <v>296.42</v>
      </c>
      <c r="H482" s="2">
        <v>0.12</v>
      </c>
      <c r="I482" s="1" t="s">
        <v>14</v>
      </c>
      <c r="J482" s="1">
        <v>3.4</v>
      </c>
      <c r="K482" s="23">
        <v>1565.1</v>
      </c>
    </row>
    <row r="483" spans="1:11" x14ac:dyDescent="0.3">
      <c r="A483" s="1">
        <v>10482</v>
      </c>
      <c r="B483" s="3">
        <v>45043</v>
      </c>
      <c r="C483" s="3" t="str">
        <f>TEXT(Table1[[#This Row],[order_date]],"mmmm")</f>
        <v>April</v>
      </c>
      <c r="D483" s="1" t="s">
        <v>17</v>
      </c>
      <c r="E483" s="1" t="s">
        <v>11</v>
      </c>
      <c r="F483" s="1">
        <v>1</v>
      </c>
      <c r="G483" s="1">
        <v>41.82</v>
      </c>
      <c r="H483" s="2">
        <v>0.28999999999999998</v>
      </c>
      <c r="I483" s="1" t="s">
        <v>16</v>
      </c>
      <c r="J483" s="1">
        <v>4</v>
      </c>
      <c r="K483" s="23">
        <v>29.69</v>
      </c>
    </row>
    <row r="484" spans="1:11" x14ac:dyDescent="0.3">
      <c r="A484" s="1">
        <v>10483</v>
      </c>
      <c r="B484" s="3">
        <v>45044</v>
      </c>
      <c r="C484" s="3" t="str">
        <f>TEXT(Table1[[#This Row],[order_date]],"mmmm")</f>
        <v>April</v>
      </c>
      <c r="D484" s="1" t="s">
        <v>13</v>
      </c>
      <c r="E484" s="1" t="s">
        <v>19</v>
      </c>
      <c r="F484" s="1">
        <v>2</v>
      </c>
      <c r="G484" s="1">
        <v>19.239999999999998</v>
      </c>
      <c r="H484" s="2">
        <v>0</v>
      </c>
      <c r="I484" s="1" t="s">
        <v>14</v>
      </c>
      <c r="J484" s="1">
        <v>1.4</v>
      </c>
      <c r="K484" s="23">
        <v>38.479999999999997</v>
      </c>
    </row>
    <row r="485" spans="1:11" x14ac:dyDescent="0.3">
      <c r="A485" s="1">
        <v>10484</v>
      </c>
      <c r="B485" s="3">
        <v>45045</v>
      </c>
      <c r="C485" s="3" t="str">
        <f>TEXT(Table1[[#This Row],[order_date]],"mmmm")</f>
        <v>April</v>
      </c>
      <c r="D485" s="1" t="s">
        <v>17</v>
      </c>
      <c r="E485" s="1" t="s">
        <v>15</v>
      </c>
      <c r="F485" s="1">
        <v>4</v>
      </c>
      <c r="G485" s="1">
        <v>593.02</v>
      </c>
      <c r="H485" s="2">
        <v>0.28000000000000003</v>
      </c>
      <c r="I485" s="1" t="s">
        <v>16</v>
      </c>
      <c r="J485" s="1">
        <v>4.9000000000000004</v>
      </c>
      <c r="K485" s="23">
        <v>1707.9</v>
      </c>
    </row>
    <row r="486" spans="1:11" x14ac:dyDescent="0.3">
      <c r="A486" s="1">
        <v>10485</v>
      </c>
      <c r="B486" s="3">
        <v>45046</v>
      </c>
      <c r="C486" s="3" t="str">
        <f>TEXT(Table1[[#This Row],[order_date]],"mmmm")</f>
        <v>April</v>
      </c>
      <c r="D486" s="1" t="s">
        <v>17</v>
      </c>
      <c r="E486" s="1" t="s">
        <v>19</v>
      </c>
      <c r="F486" s="1">
        <v>1</v>
      </c>
      <c r="G486" s="1">
        <v>400.42</v>
      </c>
      <c r="H486" s="2">
        <v>0.2</v>
      </c>
      <c r="I486" s="1" t="s">
        <v>16</v>
      </c>
      <c r="J486" s="1">
        <v>4.4000000000000004</v>
      </c>
      <c r="K486" s="23">
        <v>320.33999999999997</v>
      </c>
    </row>
    <row r="487" spans="1:11" x14ac:dyDescent="0.3">
      <c r="A487" s="1">
        <v>10486</v>
      </c>
      <c r="B487" s="3">
        <v>45047</v>
      </c>
      <c r="C487" s="3" t="str">
        <f>TEXT(Table1[[#This Row],[order_date]],"mmmm")</f>
        <v>May</v>
      </c>
      <c r="D487" s="1" t="s">
        <v>20</v>
      </c>
      <c r="E487" s="1" t="s">
        <v>15</v>
      </c>
      <c r="F487" s="1">
        <v>2</v>
      </c>
      <c r="G487" s="1">
        <v>228.76</v>
      </c>
      <c r="H487" s="2">
        <v>0.35</v>
      </c>
      <c r="I487" s="1" t="s">
        <v>16</v>
      </c>
      <c r="J487" s="1">
        <v>2.6</v>
      </c>
      <c r="K487" s="23">
        <v>297.39</v>
      </c>
    </row>
    <row r="488" spans="1:11" x14ac:dyDescent="0.3">
      <c r="A488" s="1">
        <v>10487</v>
      </c>
      <c r="B488" s="3">
        <v>45048</v>
      </c>
      <c r="C488" s="3" t="str">
        <f>TEXT(Table1[[#This Row],[order_date]],"mmmm")</f>
        <v>May</v>
      </c>
      <c r="D488" s="1" t="s">
        <v>10</v>
      </c>
      <c r="E488" s="1" t="s">
        <v>18</v>
      </c>
      <c r="F488" s="1">
        <v>6</v>
      </c>
      <c r="G488" s="1">
        <v>290.2</v>
      </c>
      <c r="H488" s="2">
        <v>0.21</v>
      </c>
      <c r="I488" s="1" t="s">
        <v>12</v>
      </c>
      <c r="J488" s="1">
        <v>3.9</v>
      </c>
      <c r="K488" s="23">
        <v>1375.55</v>
      </c>
    </row>
    <row r="489" spans="1:11" x14ac:dyDescent="0.3">
      <c r="A489" s="1">
        <v>10488</v>
      </c>
      <c r="B489" s="3">
        <v>45049</v>
      </c>
      <c r="C489" s="3" t="str">
        <f>TEXT(Table1[[#This Row],[order_date]],"mmmm")</f>
        <v>May</v>
      </c>
      <c r="D489" s="1" t="s">
        <v>13</v>
      </c>
      <c r="E489" s="1" t="s">
        <v>11</v>
      </c>
      <c r="F489" s="1">
        <v>2</v>
      </c>
      <c r="G489" s="1">
        <v>170.93</v>
      </c>
      <c r="H489" s="2">
        <v>0.02</v>
      </c>
      <c r="I489" s="1" t="s">
        <v>16</v>
      </c>
      <c r="J489" s="1">
        <v>4</v>
      </c>
      <c r="K489" s="23">
        <v>335.02</v>
      </c>
    </row>
    <row r="490" spans="1:11" x14ac:dyDescent="0.3">
      <c r="A490" s="1">
        <v>10489</v>
      </c>
      <c r="B490" s="3">
        <v>45050</v>
      </c>
      <c r="C490" s="3" t="str">
        <f>TEXT(Table1[[#This Row],[order_date]],"mmmm")</f>
        <v>May</v>
      </c>
      <c r="D490" s="1" t="s">
        <v>17</v>
      </c>
      <c r="E490" s="1" t="s">
        <v>19</v>
      </c>
      <c r="F490" s="1">
        <v>6</v>
      </c>
      <c r="G490" s="1">
        <v>216.75</v>
      </c>
      <c r="H490" s="2">
        <v>0.02</v>
      </c>
      <c r="I490" s="1" t="s">
        <v>14</v>
      </c>
      <c r="J490" s="1">
        <v>4.4000000000000004</v>
      </c>
      <c r="K490" s="23">
        <v>1274.49</v>
      </c>
    </row>
    <row r="491" spans="1:11" x14ac:dyDescent="0.3">
      <c r="A491" s="1">
        <v>10490</v>
      </c>
      <c r="B491" s="3">
        <v>45051</v>
      </c>
      <c r="C491" s="3" t="str">
        <f>TEXT(Table1[[#This Row],[order_date]],"mmmm")</f>
        <v>May</v>
      </c>
      <c r="D491" s="1" t="s">
        <v>17</v>
      </c>
      <c r="E491" s="1" t="s">
        <v>19</v>
      </c>
      <c r="F491" s="1">
        <v>7</v>
      </c>
      <c r="G491" s="1">
        <v>394.69</v>
      </c>
      <c r="H491" s="2">
        <v>0.31</v>
      </c>
      <c r="I491" s="1" t="s">
        <v>16</v>
      </c>
      <c r="J491" s="1">
        <v>1.8</v>
      </c>
      <c r="K491" s="23">
        <v>1906.35</v>
      </c>
    </row>
    <row r="492" spans="1:11" x14ac:dyDescent="0.3">
      <c r="A492" s="1">
        <v>10491</v>
      </c>
      <c r="B492" s="3">
        <v>45052</v>
      </c>
      <c r="C492" s="3" t="str">
        <f>TEXT(Table1[[#This Row],[order_date]],"mmmm")</f>
        <v>May</v>
      </c>
      <c r="D492" s="1" t="s">
        <v>10</v>
      </c>
      <c r="E492" s="1" t="s">
        <v>18</v>
      </c>
      <c r="F492" s="1">
        <v>2</v>
      </c>
      <c r="G492" s="1">
        <v>531.44000000000005</v>
      </c>
      <c r="H492" s="2">
        <v>0.28999999999999998</v>
      </c>
      <c r="I492" s="1" t="s">
        <v>16</v>
      </c>
      <c r="J492" s="1">
        <v>3.8</v>
      </c>
      <c r="K492" s="23">
        <v>754.64</v>
      </c>
    </row>
    <row r="493" spans="1:11" x14ac:dyDescent="0.3">
      <c r="A493" s="1">
        <v>10492</v>
      </c>
      <c r="B493" s="3">
        <v>45053</v>
      </c>
      <c r="C493" s="3" t="str">
        <f>TEXT(Table1[[#This Row],[order_date]],"mmmm")</f>
        <v>May</v>
      </c>
      <c r="D493" s="1" t="s">
        <v>17</v>
      </c>
      <c r="E493" s="1" t="s">
        <v>15</v>
      </c>
      <c r="F493" s="1">
        <v>4</v>
      </c>
      <c r="G493" s="1">
        <v>122.72</v>
      </c>
      <c r="H493" s="2">
        <v>0.12</v>
      </c>
      <c r="I493" s="1" t="s">
        <v>14</v>
      </c>
      <c r="J493" s="1">
        <v>1.1000000000000001</v>
      </c>
      <c r="K493" s="23">
        <v>431.97</v>
      </c>
    </row>
    <row r="494" spans="1:11" x14ac:dyDescent="0.3">
      <c r="A494" s="1">
        <v>10493</v>
      </c>
      <c r="B494" s="3">
        <v>45054</v>
      </c>
      <c r="C494" s="3" t="str">
        <f>TEXT(Table1[[#This Row],[order_date]],"mmmm")</f>
        <v>May</v>
      </c>
      <c r="D494" s="1" t="s">
        <v>17</v>
      </c>
      <c r="E494" s="1" t="s">
        <v>19</v>
      </c>
      <c r="F494" s="1">
        <v>1</v>
      </c>
      <c r="G494" s="1">
        <v>506.61</v>
      </c>
      <c r="H494" s="2">
        <v>0.22</v>
      </c>
      <c r="I494" s="1" t="s">
        <v>16</v>
      </c>
      <c r="J494" s="1">
        <v>1.5</v>
      </c>
      <c r="K494" s="23">
        <v>395.16</v>
      </c>
    </row>
    <row r="495" spans="1:11" x14ac:dyDescent="0.3">
      <c r="A495" s="1">
        <v>10494</v>
      </c>
      <c r="B495" s="3">
        <v>45055</v>
      </c>
      <c r="C495" s="3" t="str">
        <f>TEXT(Table1[[#This Row],[order_date]],"mmmm")</f>
        <v>May</v>
      </c>
      <c r="D495" s="1" t="s">
        <v>13</v>
      </c>
      <c r="E495" s="1" t="s">
        <v>15</v>
      </c>
      <c r="F495" s="1">
        <v>7</v>
      </c>
      <c r="G495" s="1">
        <v>86.11</v>
      </c>
      <c r="H495" s="2">
        <v>0.17</v>
      </c>
      <c r="I495" s="1" t="s">
        <v>14</v>
      </c>
      <c r="J495" s="1">
        <v>4.0999999999999996</v>
      </c>
      <c r="K495" s="23">
        <v>500.3</v>
      </c>
    </row>
    <row r="496" spans="1:11" x14ac:dyDescent="0.3">
      <c r="A496" s="1">
        <v>10495</v>
      </c>
      <c r="B496" s="3">
        <v>45056</v>
      </c>
      <c r="C496" s="3" t="str">
        <f>TEXT(Table1[[#This Row],[order_date]],"mmmm")</f>
        <v>May</v>
      </c>
      <c r="D496" s="1" t="s">
        <v>13</v>
      </c>
      <c r="E496" s="1" t="s">
        <v>18</v>
      </c>
      <c r="F496" s="1">
        <v>4</v>
      </c>
      <c r="G496" s="1">
        <v>140.77000000000001</v>
      </c>
      <c r="H496" s="2">
        <v>0.34</v>
      </c>
      <c r="I496" s="1" t="s">
        <v>14</v>
      </c>
      <c r="J496" s="1">
        <v>4.3</v>
      </c>
      <c r="K496" s="23">
        <v>371.63</v>
      </c>
    </row>
    <row r="497" spans="1:11" x14ac:dyDescent="0.3">
      <c r="A497" s="1">
        <v>10496</v>
      </c>
      <c r="B497" s="3">
        <v>45057</v>
      </c>
      <c r="C497" s="3" t="str">
        <f>TEXT(Table1[[#This Row],[order_date]],"mmmm")</f>
        <v>May</v>
      </c>
      <c r="D497" s="1" t="s">
        <v>13</v>
      </c>
      <c r="E497" s="1" t="s">
        <v>11</v>
      </c>
      <c r="F497" s="1">
        <v>3</v>
      </c>
      <c r="G497" s="1">
        <v>36.75</v>
      </c>
      <c r="H497" s="2">
        <v>0.33</v>
      </c>
      <c r="I497" s="1" t="s">
        <v>12</v>
      </c>
      <c r="J497" s="1">
        <v>3.4</v>
      </c>
      <c r="K497" s="23">
        <v>73.87</v>
      </c>
    </row>
    <row r="498" spans="1:11" x14ac:dyDescent="0.3">
      <c r="A498" s="1">
        <v>10497</v>
      </c>
      <c r="B498" s="3">
        <v>45058</v>
      </c>
      <c r="C498" s="3" t="str">
        <f>TEXT(Table1[[#This Row],[order_date]],"mmmm")</f>
        <v>May</v>
      </c>
      <c r="D498" s="1" t="s">
        <v>17</v>
      </c>
      <c r="E498" s="1" t="s">
        <v>19</v>
      </c>
      <c r="F498" s="1">
        <v>6</v>
      </c>
      <c r="G498" s="1">
        <v>97.37</v>
      </c>
      <c r="H498" s="2">
        <v>0.34</v>
      </c>
      <c r="I498" s="1" t="s">
        <v>12</v>
      </c>
      <c r="J498" s="1">
        <v>3.3</v>
      </c>
      <c r="K498" s="23">
        <v>385.59</v>
      </c>
    </row>
    <row r="499" spans="1:11" x14ac:dyDescent="0.3">
      <c r="A499" s="1">
        <v>10498</v>
      </c>
      <c r="B499" s="3">
        <v>45059</v>
      </c>
      <c r="C499" s="3" t="str">
        <f>TEXT(Table1[[#This Row],[order_date]],"mmmm")</f>
        <v>May</v>
      </c>
      <c r="D499" s="1" t="s">
        <v>17</v>
      </c>
      <c r="E499" s="1" t="s">
        <v>15</v>
      </c>
      <c r="F499" s="1">
        <v>1</v>
      </c>
      <c r="G499" s="1">
        <v>551.62</v>
      </c>
      <c r="H499" s="2">
        <v>0.3</v>
      </c>
      <c r="I499" s="1" t="s">
        <v>16</v>
      </c>
      <c r="J499" s="1">
        <v>4</v>
      </c>
      <c r="K499" s="23">
        <v>386.13</v>
      </c>
    </row>
    <row r="500" spans="1:11" x14ac:dyDescent="0.3">
      <c r="A500" s="1">
        <v>10499</v>
      </c>
      <c r="B500" s="3">
        <v>45060</v>
      </c>
      <c r="C500" s="3" t="str">
        <f>TEXT(Table1[[#This Row],[order_date]],"mmmm")</f>
        <v>May</v>
      </c>
      <c r="D500" s="1" t="s">
        <v>10</v>
      </c>
      <c r="E500" s="1" t="s">
        <v>19</v>
      </c>
      <c r="F500" s="1">
        <v>4</v>
      </c>
      <c r="G500" s="1">
        <v>283.77</v>
      </c>
      <c r="H500" s="2">
        <v>0.32</v>
      </c>
      <c r="I500" s="1" t="s">
        <v>16</v>
      </c>
      <c r="J500" s="1">
        <v>4.5999999999999996</v>
      </c>
      <c r="K500" s="23">
        <v>771.85</v>
      </c>
    </row>
    <row r="501" spans="1:11" x14ac:dyDescent="0.3">
      <c r="A501" s="1">
        <v>10500</v>
      </c>
      <c r="B501" s="3">
        <v>45061</v>
      </c>
      <c r="C501" s="3" t="str">
        <f>TEXT(Table1[[#This Row],[order_date]],"mmmm")</f>
        <v>May</v>
      </c>
      <c r="D501" s="1" t="s">
        <v>17</v>
      </c>
      <c r="E501" s="1" t="s">
        <v>15</v>
      </c>
      <c r="F501" s="1">
        <v>1</v>
      </c>
      <c r="G501" s="1">
        <v>60.43</v>
      </c>
      <c r="H501" s="2">
        <v>0.08</v>
      </c>
      <c r="I501" s="1" t="s">
        <v>12</v>
      </c>
      <c r="J501" s="1">
        <v>2.7</v>
      </c>
      <c r="K501" s="23">
        <v>55.6</v>
      </c>
    </row>
    <row r="502" spans="1:11" x14ac:dyDescent="0.3">
      <c r="A502" s="1">
        <v>10501</v>
      </c>
      <c r="B502" s="3">
        <v>45062</v>
      </c>
      <c r="C502" s="3" t="str">
        <f>TEXT(Table1[[#This Row],[order_date]],"mmmm")</f>
        <v>May</v>
      </c>
      <c r="D502" s="1" t="s">
        <v>20</v>
      </c>
      <c r="E502" s="1" t="s">
        <v>15</v>
      </c>
      <c r="F502" s="1">
        <v>3</v>
      </c>
      <c r="G502" s="1">
        <v>576.44000000000005</v>
      </c>
      <c r="H502" s="2">
        <v>0.28999999999999998</v>
      </c>
      <c r="I502" s="1" t="s">
        <v>12</v>
      </c>
      <c r="J502" s="1">
        <v>1.5</v>
      </c>
      <c r="K502" s="23">
        <v>1227.82</v>
      </c>
    </row>
    <row r="503" spans="1:11" x14ac:dyDescent="0.3">
      <c r="A503" s="1">
        <v>10502</v>
      </c>
      <c r="B503" s="3">
        <v>45063</v>
      </c>
      <c r="C503" s="3" t="str">
        <f>TEXT(Table1[[#This Row],[order_date]],"mmmm")</f>
        <v>May</v>
      </c>
      <c r="D503" s="1" t="s">
        <v>20</v>
      </c>
      <c r="E503" s="1" t="s">
        <v>15</v>
      </c>
      <c r="F503" s="1">
        <v>5</v>
      </c>
      <c r="G503" s="1">
        <v>529.21</v>
      </c>
      <c r="H503" s="2">
        <v>0.25</v>
      </c>
      <c r="I503" s="1" t="s">
        <v>16</v>
      </c>
      <c r="J503" s="1">
        <v>4.4000000000000004</v>
      </c>
      <c r="K503" s="23">
        <v>1984.54</v>
      </c>
    </row>
    <row r="504" spans="1:11" x14ac:dyDescent="0.3">
      <c r="A504" s="1">
        <v>10503</v>
      </c>
      <c r="B504" s="3">
        <v>45064</v>
      </c>
      <c r="C504" s="3" t="str">
        <f>TEXT(Table1[[#This Row],[order_date]],"mmmm")</f>
        <v>May</v>
      </c>
      <c r="D504" s="1" t="s">
        <v>13</v>
      </c>
      <c r="E504" s="1" t="s">
        <v>18</v>
      </c>
      <c r="F504" s="1">
        <v>6</v>
      </c>
      <c r="G504" s="1">
        <v>456.49</v>
      </c>
      <c r="H504" s="2">
        <v>0.34</v>
      </c>
      <c r="I504" s="1" t="s">
        <v>16</v>
      </c>
      <c r="J504" s="1">
        <v>2.4</v>
      </c>
      <c r="K504" s="23">
        <v>1807.7</v>
      </c>
    </row>
    <row r="505" spans="1:11" x14ac:dyDescent="0.3">
      <c r="A505" s="1">
        <v>10504</v>
      </c>
      <c r="B505" s="3">
        <v>45065</v>
      </c>
      <c r="C505" s="3" t="str">
        <f>TEXT(Table1[[#This Row],[order_date]],"mmmm")</f>
        <v>May</v>
      </c>
      <c r="D505" s="1" t="s">
        <v>17</v>
      </c>
      <c r="E505" s="1" t="s">
        <v>11</v>
      </c>
      <c r="F505" s="1">
        <v>6</v>
      </c>
      <c r="G505" s="1">
        <v>561.08000000000004</v>
      </c>
      <c r="H505" s="2">
        <v>0.2</v>
      </c>
      <c r="I505" s="1" t="s">
        <v>14</v>
      </c>
      <c r="J505" s="1">
        <v>1.5</v>
      </c>
      <c r="K505" s="23">
        <v>2693.18</v>
      </c>
    </row>
    <row r="506" spans="1:11" x14ac:dyDescent="0.3">
      <c r="A506" s="1">
        <v>10505</v>
      </c>
      <c r="B506" s="3">
        <v>45066</v>
      </c>
      <c r="C506" s="3" t="str">
        <f>TEXT(Table1[[#This Row],[order_date]],"mmmm")</f>
        <v>May</v>
      </c>
      <c r="D506" s="1" t="s">
        <v>17</v>
      </c>
      <c r="E506" s="1" t="s">
        <v>19</v>
      </c>
      <c r="F506" s="1">
        <v>2</v>
      </c>
      <c r="G506" s="1">
        <v>143.78</v>
      </c>
      <c r="H506" s="2">
        <v>0.03</v>
      </c>
      <c r="I506" s="1" t="s">
        <v>14</v>
      </c>
      <c r="J506" s="1">
        <v>3.5</v>
      </c>
      <c r="K506" s="23">
        <v>278.93</v>
      </c>
    </row>
    <row r="507" spans="1:11" x14ac:dyDescent="0.3">
      <c r="A507" s="1">
        <v>10506</v>
      </c>
      <c r="B507" s="3">
        <v>45067</v>
      </c>
      <c r="C507" s="3" t="str">
        <f>TEXT(Table1[[#This Row],[order_date]],"mmmm")</f>
        <v>May</v>
      </c>
      <c r="D507" s="1" t="s">
        <v>13</v>
      </c>
      <c r="E507" s="1" t="s">
        <v>11</v>
      </c>
      <c r="F507" s="1">
        <v>6</v>
      </c>
      <c r="G507" s="1">
        <v>504.28</v>
      </c>
      <c r="H507" s="2">
        <v>0.21</v>
      </c>
      <c r="I507" s="1" t="s">
        <v>14</v>
      </c>
      <c r="J507" s="1">
        <v>3.3</v>
      </c>
      <c r="K507" s="23">
        <v>2390.29</v>
      </c>
    </row>
    <row r="508" spans="1:11" x14ac:dyDescent="0.3">
      <c r="A508" s="1">
        <v>10507</v>
      </c>
      <c r="B508" s="3">
        <v>45068</v>
      </c>
      <c r="C508" s="3" t="str">
        <f>TEXT(Table1[[#This Row],[order_date]],"mmmm")</f>
        <v>May</v>
      </c>
      <c r="D508" s="1" t="s">
        <v>10</v>
      </c>
      <c r="E508" s="1" t="s">
        <v>15</v>
      </c>
      <c r="F508" s="1">
        <v>6</v>
      </c>
      <c r="G508" s="1">
        <v>418.64</v>
      </c>
      <c r="H508" s="2">
        <v>0.24</v>
      </c>
      <c r="I508" s="1" t="s">
        <v>16</v>
      </c>
      <c r="J508" s="1">
        <v>2.9</v>
      </c>
      <c r="K508" s="23">
        <v>1909</v>
      </c>
    </row>
    <row r="509" spans="1:11" x14ac:dyDescent="0.3">
      <c r="A509" s="1">
        <v>10508</v>
      </c>
      <c r="B509" s="3">
        <v>45069</v>
      </c>
      <c r="C509" s="3" t="str">
        <f>TEXT(Table1[[#This Row],[order_date]],"mmmm")</f>
        <v>May</v>
      </c>
      <c r="D509" s="1" t="s">
        <v>10</v>
      </c>
      <c r="E509" s="1" t="s">
        <v>15</v>
      </c>
      <c r="F509" s="1">
        <v>4</v>
      </c>
      <c r="G509" s="1">
        <v>523.80999999999995</v>
      </c>
      <c r="H509" s="2">
        <v>0.08</v>
      </c>
      <c r="I509" s="1" t="s">
        <v>12</v>
      </c>
      <c r="J509" s="1">
        <v>4.4000000000000004</v>
      </c>
      <c r="K509" s="23">
        <v>1927.62</v>
      </c>
    </row>
    <row r="510" spans="1:11" x14ac:dyDescent="0.3">
      <c r="A510" s="1">
        <v>10509</v>
      </c>
      <c r="B510" s="3">
        <v>45070</v>
      </c>
      <c r="C510" s="3" t="str">
        <f>TEXT(Table1[[#This Row],[order_date]],"mmmm")</f>
        <v>May</v>
      </c>
      <c r="D510" s="1" t="s">
        <v>17</v>
      </c>
      <c r="E510" s="1" t="s">
        <v>11</v>
      </c>
      <c r="F510" s="1">
        <v>7</v>
      </c>
      <c r="G510" s="1">
        <v>481.19</v>
      </c>
      <c r="H510" s="2">
        <v>0.14000000000000001</v>
      </c>
      <c r="I510" s="1" t="s">
        <v>12</v>
      </c>
      <c r="J510" s="1">
        <v>2.1</v>
      </c>
      <c r="K510" s="23">
        <v>2896.76</v>
      </c>
    </row>
    <row r="511" spans="1:11" x14ac:dyDescent="0.3">
      <c r="A511" s="1">
        <v>10510</v>
      </c>
      <c r="B511" s="3">
        <v>45071</v>
      </c>
      <c r="C511" s="3" t="str">
        <f>TEXT(Table1[[#This Row],[order_date]],"mmmm")</f>
        <v>May</v>
      </c>
      <c r="D511" s="1" t="s">
        <v>17</v>
      </c>
      <c r="E511" s="1" t="s">
        <v>11</v>
      </c>
      <c r="F511" s="1">
        <v>6</v>
      </c>
      <c r="G511" s="1">
        <v>217.7</v>
      </c>
      <c r="H511" s="2">
        <v>0.21</v>
      </c>
      <c r="I511" s="1" t="s">
        <v>14</v>
      </c>
      <c r="J511" s="1">
        <v>1.1000000000000001</v>
      </c>
      <c r="K511" s="23">
        <v>1031.9000000000001</v>
      </c>
    </row>
    <row r="512" spans="1:11" x14ac:dyDescent="0.3">
      <c r="A512" s="1">
        <v>10511</v>
      </c>
      <c r="B512" s="3">
        <v>45072</v>
      </c>
      <c r="C512" s="3" t="str">
        <f>TEXT(Table1[[#This Row],[order_date]],"mmmm")</f>
        <v>May</v>
      </c>
      <c r="D512" s="1" t="s">
        <v>10</v>
      </c>
      <c r="E512" s="1" t="s">
        <v>19</v>
      </c>
      <c r="F512" s="1">
        <v>6</v>
      </c>
      <c r="G512" s="1">
        <v>468.02</v>
      </c>
      <c r="H512" s="2">
        <v>0.13</v>
      </c>
      <c r="I512" s="1" t="s">
        <v>16</v>
      </c>
      <c r="J512" s="1">
        <v>2.2999999999999998</v>
      </c>
      <c r="K512" s="23">
        <v>2443.06</v>
      </c>
    </row>
    <row r="513" spans="1:11" x14ac:dyDescent="0.3">
      <c r="A513" s="1">
        <v>10512</v>
      </c>
      <c r="B513" s="3">
        <v>45073</v>
      </c>
      <c r="C513" s="3" t="str">
        <f>TEXT(Table1[[#This Row],[order_date]],"mmmm")</f>
        <v>May</v>
      </c>
      <c r="D513" s="1" t="s">
        <v>20</v>
      </c>
      <c r="E513" s="1" t="s">
        <v>15</v>
      </c>
      <c r="F513" s="1">
        <v>3</v>
      </c>
      <c r="G513" s="1">
        <v>168.54</v>
      </c>
      <c r="H513" s="2">
        <v>0.13</v>
      </c>
      <c r="I513" s="1" t="s">
        <v>14</v>
      </c>
      <c r="J513" s="1">
        <v>1</v>
      </c>
      <c r="K513" s="23">
        <v>439.89</v>
      </c>
    </row>
    <row r="514" spans="1:11" x14ac:dyDescent="0.3">
      <c r="A514" s="1">
        <v>10513</v>
      </c>
      <c r="B514" s="3">
        <v>45074</v>
      </c>
      <c r="C514" s="3" t="str">
        <f>TEXT(Table1[[#This Row],[order_date]],"mmmm")</f>
        <v>May</v>
      </c>
      <c r="D514" s="1" t="s">
        <v>10</v>
      </c>
      <c r="E514" s="1" t="s">
        <v>11</v>
      </c>
      <c r="F514" s="1">
        <v>7</v>
      </c>
      <c r="G514" s="1">
        <v>207.23</v>
      </c>
      <c r="H514" s="2">
        <v>0.05</v>
      </c>
      <c r="I514" s="1" t="s">
        <v>14</v>
      </c>
      <c r="J514" s="1">
        <v>3.2</v>
      </c>
      <c r="K514" s="23">
        <v>1378.08</v>
      </c>
    </row>
    <row r="515" spans="1:11" x14ac:dyDescent="0.3">
      <c r="A515" s="1">
        <v>10514</v>
      </c>
      <c r="B515" s="3">
        <v>45075</v>
      </c>
      <c r="C515" s="3" t="str">
        <f>TEXT(Table1[[#This Row],[order_date]],"mmmm")</f>
        <v>May</v>
      </c>
      <c r="D515" s="1" t="s">
        <v>17</v>
      </c>
      <c r="E515" s="1" t="s">
        <v>18</v>
      </c>
      <c r="F515" s="1">
        <v>3</v>
      </c>
      <c r="G515" s="1">
        <v>78.12</v>
      </c>
      <c r="H515" s="2">
        <v>0.33</v>
      </c>
      <c r="I515" s="1" t="s">
        <v>12</v>
      </c>
      <c r="J515" s="1">
        <v>2.5</v>
      </c>
      <c r="K515" s="23">
        <v>157.02000000000001</v>
      </c>
    </row>
    <row r="516" spans="1:11" x14ac:dyDescent="0.3">
      <c r="A516" s="1">
        <v>10515</v>
      </c>
      <c r="B516" s="3">
        <v>45076</v>
      </c>
      <c r="C516" s="3" t="str">
        <f>TEXT(Table1[[#This Row],[order_date]],"mmmm")</f>
        <v>May</v>
      </c>
      <c r="D516" s="1" t="s">
        <v>13</v>
      </c>
      <c r="E516" s="1" t="s">
        <v>15</v>
      </c>
      <c r="F516" s="1">
        <v>1</v>
      </c>
      <c r="G516" s="1">
        <v>562.02</v>
      </c>
      <c r="H516" s="2">
        <v>0.26</v>
      </c>
      <c r="I516" s="1" t="s">
        <v>16</v>
      </c>
      <c r="J516" s="1">
        <v>4.3</v>
      </c>
      <c r="K516" s="23">
        <v>415.89</v>
      </c>
    </row>
    <row r="517" spans="1:11" x14ac:dyDescent="0.3">
      <c r="A517" s="1">
        <v>10516</v>
      </c>
      <c r="B517" s="3">
        <v>45077</v>
      </c>
      <c r="C517" s="3" t="str">
        <f>TEXT(Table1[[#This Row],[order_date]],"mmmm")</f>
        <v>May</v>
      </c>
      <c r="D517" s="1" t="s">
        <v>20</v>
      </c>
      <c r="E517" s="1" t="s">
        <v>15</v>
      </c>
      <c r="F517" s="1">
        <v>1</v>
      </c>
      <c r="G517" s="1">
        <v>185.24</v>
      </c>
      <c r="H517" s="2">
        <v>0</v>
      </c>
      <c r="I517" s="1" t="s">
        <v>16</v>
      </c>
      <c r="J517" s="1">
        <v>4.2</v>
      </c>
      <c r="K517" s="23">
        <v>185.24</v>
      </c>
    </row>
    <row r="518" spans="1:11" x14ac:dyDescent="0.3">
      <c r="A518" s="1">
        <v>10517</v>
      </c>
      <c r="B518" s="3">
        <v>45078</v>
      </c>
      <c r="C518" s="3" t="str">
        <f>TEXT(Table1[[#This Row],[order_date]],"mmmm")</f>
        <v>June</v>
      </c>
      <c r="D518" s="1" t="s">
        <v>20</v>
      </c>
      <c r="E518" s="1" t="s">
        <v>19</v>
      </c>
      <c r="F518" s="1">
        <v>6</v>
      </c>
      <c r="G518" s="1">
        <v>319.56</v>
      </c>
      <c r="H518" s="2">
        <v>0.27</v>
      </c>
      <c r="I518" s="1" t="s">
        <v>14</v>
      </c>
      <c r="J518" s="1">
        <v>2.7</v>
      </c>
      <c r="K518" s="23">
        <v>1399.67</v>
      </c>
    </row>
    <row r="519" spans="1:11" x14ac:dyDescent="0.3">
      <c r="A519" s="1">
        <v>10518</v>
      </c>
      <c r="B519" s="3">
        <v>45079</v>
      </c>
      <c r="C519" s="3" t="str">
        <f>TEXT(Table1[[#This Row],[order_date]],"mmmm")</f>
        <v>June</v>
      </c>
      <c r="D519" s="1" t="s">
        <v>13</v>
      </c>
      <c r="E519" s="1" t="s">
        <v>18</v>
      </c>
      <c r="F519" s="1">
        <v>6</v>
      </c>
      <c r="G519" s="1">
        <v>243.93</v>
      </c>
      <c r="H519" s="2">
        <v>0.26</v>
      </c>
      <c r="I519" s="1" t="s">
        <v>14</v>
      </c>
      <c r="J519" s="1">
        <v>1.9</v>
      </c>
      <c r="K519" s="23">
        <v>1083.05</v>
      </c>
    </row>
    <row r="520" spans="1:11" x14ac:dyDescent="0.3">
      <c r="A520" s="1">
        <v>10519</v>
      </c>
      <c r="B520" s="3">
        <v>45080</v>
      </c>
      <c r="C520" s="3" t="str">
        <f>TEXT(Table1[[#This Row],[order_date]],"mmmm")</f>
        <v>June</v>
      </c>
      <c r="D520" s="1" t="s">
        <v>17</v>
      </c>
      <c r="E520" s="1" t="s">
        <v>19</v>
      </c>
      <c r="F520" s="1">
        <v>2</v>
      </c>
      <c r="G520" s="1">
        <v>576.55999999999995</v>
      </c>
      <c r="H520" s="2">
        <v>0</v>
      </c>
      <c r="I520" s="1" t="s">
        <v>16</v>
      </c>
      <c r="J520" s="1">
        <v>2.7</v>
      </c>
      <c r="K520" s="23">
        <v>1153.1199999999999</v>
      </c>
    </row>
    <row r="521" spans="1:11" x14ac:dyDescent="0.3">
      <c r="A521" s="1">
        <v>10520</v>
      </c>
      <c r="B521" s="3">
        <v>45081</v>
      </c>
      <c r="C521" s="3" t="str">
        <f>TEXT(Table1[[#This Row],[order_date]],"mmmm")</f>
        <v>June</v>
      </c>
      <c r="D521" s="1" t="s">
        <v>13</v>
      </c>
      <c r="E521" s="1" t="s">
        <v>18</v>
      </c>
      <c r="F521" s="1">
        <v>1</v>
      </c>
      <c r="G521" s="1">
        <v>211</v>
      </c>
      <c r="H521" s="2">
        <v>0.13</v>
      </c>
      <c r="I521" s="1" t="s">
        <v>14</v>
      </c>
      <c r="J521" s="1">
        <v>3.6</v>
      </c>
      <c r="K521" s="23">
        <v>183.57</v>
      </c>
    </row>
    <row r="522" spans="1:11" x14ac:dyDescent="0.3">
      <c r="A522" s="1">
        <v>10521</v>
      </c>
      <c r="B522" s="3">
        <v>45082</v>
      </c>
      <c r="C522" s="3" t="str">
        <f>TEXT(Table1[[#This Row],[order_date]],"mmmm")</f>
        <v>June</v>
      </c>
      <c r="D522" s="1" t="s">
        <v>17</v>
      </c>
      <c r="E522" s="1" t="s">
        <v>19</v>
      </c>
      <c r="F522" s="1">
        <v>4</v>
      </c>
      <c r="G522" s="1">
        <v>470.45</v>
      </c>
      <c r="H522" s="2">
        <v>0.21</v>
      </c>
      <c r="I522" s="1" t="s">
        <v>14</v>
      </c>
      <c r="J522" s="1">
        <v>1.8</v>
      </c>
      <c r="K522" s="23">
        <v>1486.62</v>
      </c>
    </row>
    <row r="523" spans="1:11" x14ac:dyDescent="0.3">
      <c r="A523" s="1">
        <v>10522</v>
      </c>
      <c r="B523" s="3">
        <v>45083</v>
      </c>
      <c r="C523" s="3" t="str">
        <f>TEXT(Table1[[#This Row],[order_date]],"mmmm")</f>
        <v>June</v>
      </c>
      <c r="D523" s="1" t="s">
        <v>13</v>
      </c>
      <c r="E523" s="1" t="s">
        <v>18</v>
      </c>
      <c r="F523" s="1">
        <v>6</v>
      </c>
      <c r="G523" s="1">
        <v>515.41999999999996</v>
      </c>
      <c r="H523" s="2">
        <v>0.16</v>
      </c>
      <c r="I523" s="1" t="s">
        <v>14</v>
      </c>
      <c r="J523" s="1">
        <v>4.0999999999999996</v>
      </c>
      <c r="K523" s="23">
        <v>2597.7199999999998</v>
      </c>
    </row>
    <row r="524" spans="1:11" x14ac:dyDescent="0.3">
      <c r="A524" s="1">
        <v>10523</v>
      </c>
      <c r="B524" s="3">
        <v>45084</v>
      </c>
      <c r="C524" s="3" t="str">
        <f>TEXT(Table1[[#This Row],[order_date]],"mmmm")</f>
        <v>June</v>
      </c>
      <c r="D524" s="1" t="s">
        <v>10</v>
      </c>
      <c r="E524" s="1" t="s">
        <v>18</v>
      </c>
      <c r="F524" s="1">
        <v>4</v>
      </c>
      <c r="G524" s="1">
        <v>269.83</v>
      </c>
      <c r="H524" s="2">
        <v>0.27</v>
      </c>
      <c r="I524" s="1" t="s">
        <v>16</v>
      </c>
      <c r="J524" s="1">
        <v>2.2999999999999998</v>
      </c>
      <c r="K524" s="23">
        <v>787.9</v>
      </c>
    </row>
    <row r="525" spans="1:11" x14ac:dyDescent="0.3">
      <c r="A525" s="1">
        <v>10524</v>
      </c>
      <c r="B525" s="3">
        <v>45085</v>
      </c>
      <c r="C525" s="3" t="str">
        <f>TEXT(Table1[[#This Row],[order_date]],"mmmm")</f>
        <v>June</v>
      </c>
      <c r="D525" s="1" t="s">
        <v>13</v>
      </c>
      <c r="E525" s="1" t="s">
        <v>18</v>
      </c>
      <c r="F525" s="1">
        <v>6</v>
      </c>
      <c r="G525" s="1">
        <v>236.23</v>
      </c>
      <c r="H525" s="2">
        <v>0.15</v>
      </c>
      <c r="I525" s="1" t="s">
        <v>12</v>
      </c>
      <c r="J525" s="1">
        <v>4.7</v>
      </c>
      <c r="K525" s="23">
        <v>1204.77</v>
      </c>
    </row>
    <row r="526" spans="1:11" x14ac:dyDescent="0.3">
      <c r="A526" s="1">
        <v>10525</v>
      </c>
      <c r="B526" s="3">
        <v>45086</v>
      </c>
      <c r="C526" s="3" t="str">
        <f>TEXT(Table1[[#This Row],[order_date]],"mmmm")</f>
        <v>June</v>
      </c>
      <c r="D526" s="1" t="s">
        <v>20</v>
      </c>
      <c r="E526" s="1" t="s">
        <v>11</v>
      </c>
      <c r="F526" s="1">
        <v>4</v>
      </c>
      <c r="G526" s="1">
        <v>452.43</v>
      </c>
      <c r="H526" s="2">
        <v>0.05</v>
      </c>
      <c r="I526" s="1" t="s">
        <v>12</v>
      </c>
      <c r="J526" s="1">
        <v>3</v>
      </c>
      <c r="K526" s="23">
        <v>1719.23</v>
      </c>
    </row>
    <row r="527" spans="1:11" x14ac:dyDescent="0.3">
      <c r="A527" s="1">
        <v>10526</v>
      </c>
      <c r="B527" s="3">
        <v>45087</v>
      </c>
      <c r="C527" s="3" t="str">
        <f>TEXT(Table1[[#This Row],[order_date]],"mmmm")</f>
        <v>June</v>
      </c>
      <c r="D527" s="1" t="s">
        <v>17</v>
      </c>
      <c r="E527" s="1" t="s">
        <v>15</v>
      </c>
      <c r="F527" s="1">
        <v>5</v>
      </c>
      <c r="G527" s="1">
        <v>549.04</v>
      </c>
      <c r="H527" s="2">
        <v>0.34</v>
      </c>
      <c r="I527" s="1" t="s">
        <v>12</v>
      </c>
      <c r="J527" s="1">
        <v>4.4000000000000004</v>
      </c>
      <c r="K527" s="23">
        <v>1811.83</v>
      </c>
    </row>
    <row r="528" spans="1:11" x14ac:dyDescent="0.3">
      <c r="A528" s="1">
        <v>10527</v>
      </c>
      <c r="B528" s="3">
        <v>45088</v>
      </c>
      <c r="C528" s="3" t="str">
        <f>TEXT(Table1[[#This Row],[order_date]],"mmmm")</f>
        <v>June</v>
      </c>
      <c r="D528" s="1" t="s">
        <v>20</v>
      </c>
      <c r="E528" s="1" t="s">
        <v>18</v>
      </c>
      <c r="F528" s="1">
        <v>4</v>
      </c>
      <c r="G528" s="1">
        <v>456.64</v>
      </c>
      <c r="H528" s="2">
        <v>0.08</v>
      </c>
      <c r="I528" s="1" t="s">
        <v>12</v>
      </c>
      <c r="J528" s="1">
        <v>3.5</v>
      </c>
      <c r="K528" s="23">
        <v>1680.44</v>
      </c>
    </row>
    <row r="529" spans="1:11" x14ac:dyDescent="0.3">
      <c r="A529" s="1">
        <v>10528</v>
      </c>
      <c r="B529" s="3">
        <v>45089</v>
      </c>
      <c r="C529" s="3" t="str">
        <f>TEXT(Table1[[#This Row],[order_date]],"mmmm")</f>
        <v>June</v>
      </c>
      <c r="D529" s="1" t="s">
        <v>10</v>
      </c>
      <c r="E529" s="1" t="s">
        <v>11</v>
      </c>
      <c r="F529" s="1">
        <v>7</v>
      </c>
      <c r="G529" s="1">
        <v>147.87</v>
      </c>
      <c r="H529" s="2">
        <v>0.25</v>
      </c>
      <c r="I529" s="1" t="s">
        <v>12</v>
      </c>
      <c r="J529" s="1">
        <v>3.2</v>
      </c>
      <c r="K529" s="23">
        <v>776.32</v>
      </c>
    </row>
    <row r="530" spans="1:11" x14ac:dyDescent="0.3">
      <c r="A530" s="1">
        <v>10529</v>
      </c>
      <c r="B530" s="3">
        <v>45090</v>
      </c>
      <c r="C530" s="3" t="str">
        <f>TEXT(Table1[[#This Row],[order_date]],"mmmm")</f>
        <v>June</v>
      </c>
      <c r="D530" s="1" t="s">
        <v>17</v>
      </c>
      <c r="E530" s="1" t="s">
        <v>11</v>
      </c>
      <c r="F530" s="1">
        <v>1</v>
      </c>
      <c r="G530" s="1">
        <v>534.66</v>
      </c>
      <c r="H530" s="2">
        <v>0.05</v>
      </c>
      <c r="I530" s="1" t="s">
        <v>16</v>
      </c>
      <c r="J530" s="1">
        <v>3.7</v>
      </c>
      <c r="K530" s="23">
        <v>507.93</v>
      </c>
    </row>
    <row r="531" spans="1:11" x14ac:dyDescent="0.3">
      <c r="A531" s="1">
        <v>10530</v>
      </c>
      <c r="B531" s="3">
        <v>45091</v>
      </c>
      <c r="C531" s="3" t="str">
        <f>TEXT(Table1[[#This Row],[order_date]],"mmmm")</f>
        <v>June</v>
      </c>
      <c r="D531" s="1" t="s">
        <v>17</v>
      </c>
      <c r="E531" s="1" t="s">
        <v>19</v>
      </c>
      <c r="F531" s="1">
        <v>6</v>
      </c>
      <c r="G531" s="1">
        <v>241.74</v>
      </c>
      <c r="H531" s="2">
        <v>0.12</v>
      </c>
      <c r="I531" s="1" t="s">
        <v>16</v>
      </c>
      <c r="J531" s="1">
        <v>4.2</v>
      </c>
      <c r="K531" s="23">
        <v>1276.3900000000001</v>
      </c>
    </row>
    <row r="532" spans="1:11" x14ac:dyDescent="0.3">
      <c r="A532" s="1">
        <v>10531</v>
      </c>
      <c r="B532" s="3">
        <v>45092</v>
      </c>
      <c r="C532" s="3" t="str">
        <f>TEXT(Table1[[#This Row],[order_date]],"mmmm")</f>
        <v>June</v>
      </c>
      <c r="D532" s="1" t="s">
        <v>13</v>
      </c>
      <c r="E532" s="1" t="s">
        <v>15</v>
      </c>
      <c r="F532" s="1">
        <v>1</v>
      </c>
      <c r="G532" s="1">
        <v>352.09</v>
      </c>
      <c r="H532" s="2">
        <v>0.15</v>
      </c>
      <c r="I532" s="1" t="s">
        <v>14</v>
      </c>
      <c r="J532" s="1">
        <v>3.6</v>
      </c>
      <c r="K532" s="23">
        <v>299.27999999999997</v>
      </c>
    </row>
    <row r="533" spans="1:11" x14ac:dyDescent="0.3">
      <c r="A533" s="1">
        <v>10532</v>
      </c>
      <c r="B533" s="3">
        <v>45093</v>
      </c>
      <c r="C533" s="3" t="str">
        <f>TEXT(Table1[[#This Row],[order_date]],"mmmm")</f>
        <v>June</v>
      </c>
      <c r="D533" s="1" t="s">
        <v>17</v>
      </c>
      <c r="E533" s="1" t="s">
        <v>15</v>
      </c>
      <c r="F533" s="1">
        <v>7</v>
      </c>
      <c r="G533" s="1">
        <v>501.39</v>
      </c>
      <c r="H533" s="2">
        <v>7.0000000000000007E-2</v>
      </c>
      <c r="I533" s="1" t="s">
        <v>12</v>
      </c>
      <c r="J533" s="1">
        <v>4.2</v>
      </c>
      <c r="K533" s="23">
        <v>3264.05</v>
      </c>
    </row>
    <row r="534" spans="1:11" x14ac:dyDescent="0.3">
      <c r="A534" s="1">
        <v>10533</v>
      </c>
      <c r="B534" s="3">
        <v>45094</v>
      </c>
      <c r="C534" s="3" t="str">
        <f>TEXT(Table1[[#This Row],[order_date]],"mmmm")</f>
        <v>June</v>
      </c>
      <c r="D534" s="1" t="s">
        <v>20</v>
      </c>
      <c r="E534" s="1" t="s">
        <v>19</v>
      </c>
      <c r="F534" s="1">
        <v>7</v>
      </c>
      <c r="G534" s="1">
        <v>125.21</v>
      </c>
      <c r="H534" s="2">
        <v>0.16</v>
      </c>
      <c r="I534" s="1" t="s">
        <v>14</v>
      </c>
      <c r="J534" s="1">
        <v>1.8</v>
      </c>
      <c r="K534" s="23">
        <v>736.23</v>
      </c>
    </row>
    <row r="535" spans="1:11" x14ac:dyDescent="0.3">
      <c r="A535" s="1">
        <v>10534</v>
      </c>
      <c r="B535" s="3">
        <v>45095</v>
      </c>
      <c r="C535" s="3" t="str">
        <f>TEXT(Table1[[#This Row],[order_date]],"mmmm")</f>
        <v>June</v>
      </c>
      <c r="D535" s="1" t="s">
        <v>10</v>
      </c>
      <c r="E535" s="1" t="s">
        <v>15</v>
      </c>
      <c r="F535" s="1">
        <v>4</v>
      </c>
      <c r="G535" s="1">
        <v>473.94</v>
      </c>
      <c r="H535" s="2">
        <v>0.06</v>
      </c>
      <c r="I535" s="1" t="s">
        <v>14</v>
      </c>
      <c r="J535" s="1">
        <v>2.1</v>
      </c>
      <c r="K535" s="23">
        <v>1782.01</v>
      </c>
    </row>
    <row r="536" spans="1:11" x14ac:dyDescent="0.3">
      <c r="A536" s="1">
        <v>10535</v>
      </c>
      <c r="B536" s="3">
        <v>45096</v>
      </c>
      <c r="C536" s="3" t="str">
        <f>TEXT(Table1[[#This Row],[order_date]],"mmmm")</f>
        <v>June</v>
      </c>
      <c r="D536" s="1" t="s">
        <v>13</v>
      </c>
      <c r="E536" s="1" t="s">
        <v>19</v>
      </c>
      <c r="F536" s="1">
        <v>3</v>
      </c>
      <c r="G536" s="1">
        <v>363.76</v>
      </c>
      <c r="H536" s="2">
        <v>0.2</v>
      </c>
      <c r="I536" s="1" t="s">
        <v>12</v>
      </c>
      <c r="J536" s="1">
        <v>1.9</v>
      </c>
      <c r="K536" s="23">
        <v>873.02</v>
      </c>
    </row>
    <row r="537" spans="1:11" x14ac:dyDescent="0.3">
      <c r="A537" s="1">
        <v>10536</v>
      </c>
      <c r="B537" s="3">
        <v>45097</v>
      </c>
      <c r="C537" s="3" t="str">
        <f>TEXT(Table1[[#This Row],[order_date]],"mmmm")</f>
        <v>June</v>
      </c>
      <c r="D537" s="1" t="s">
        <v>17</v>
      </c>
      <c r="E537" s="1" t="s">
        <v>11</v>
      </c>
      <c r="F537" s="1">
        <v>3</v>
      </c>
      <c r="G537" s="1">
        <v>537.6</v>
      </c>
      <c r="H537" s="2">
        <v>0.23</v>
      </c>
      <c r="I537" s="1" t="s">
        <v>14</v>
      </c>
      <c r="J537" s="1">
        <v>4.2</v>
      </c>
      <c r="K537" s="23">
        <v>1241.8599999999999</v>
      </c>
    </row>
    <row r="538" spans="1:11" x14ac:dyDescent="0.3">
      <c r="A538" s="1">
        <v>10537</v>
      </c>
      <c r="B538" s="3">
        <v>45098</v>
      </c>
      <c r="C538" s="3" t="str">
        <f>TEXT(Table1[[#This Row],[order_date]],"mmmm")</f>
        <v>June</v>
      </c>
      <c r="D538" s="1" t="s">
        <v>13</v>
      </c>
      <c r="E538" s="1" t="s">
        <v>11</v>
      </c>
      <c r="F538" s="1">
        <v>7</v>
      </c>
      <c r="G538" s="1">
        <v>115.6</v>
      </c>
      <c r="H538" s="2">
        <v>0.02</v>
      </c>
      <c r="I538" s="1" t="s">
        <v>12</v>
      </c>
      <c r="J538" s="1">
        <v>1.3</v>
      </c>
      <c r="K538" s="23">
        <v>793.02</v>
      </c>
    </row>
    <row r="539" spans="1:11" x14ac:dyDescent="0.3">
      <c r="A539" s="1">
        <v>10538</v>
      </c>
      <c r="B539" s="3">
        <v>45099</v>
      </c>
      <c r="C539" s="3" t="str">
        <f>TEXT(Table1[[#This Row],[order_date]],"mmmm")</f>
        <v>June</v>
      </c>
      <c r="D539" s="1" t="s">
        <v>20</v>
      </c>
      <c r="E539" s="1" t="s">
        <v>18</v>
      </c>
      <c r="F539" s="1">
        <v>3</v>
      </c>
      <c r="G539" s="1">
        <v>261.10000000000002</v>
      </c>
      <c r="H539" s="2">
        <v>0.3</v>
      </c>
      <c r="I539" s="1" t="s">
        <v>16</v>
      </c>
      <c r="J539" s="1">
        <v>4.2</v>
      </c>
      <c r="K539" s="23">
        <v>548.30999999999995</v>
      </c>
    </row>
    <row r="540" spans="1:11" x14ac:dyDescent="0.3">
      <c r="A540" s="1">
        <v>10539</v>
      </c>
      <c r="B540" s="3">
        <v>45100</v>
      </c>
      <c r="C540" s="3" t="str">
        <f>TEXT(Table1[[#This Row],[order_date]],"mmmm")</f>
        <v>June</v>
      </c>
      <c r="D540" s="1" t="s">
        <v>17</v>
      </c>
      <c r="E540" s="1" t="s">
        <v>19</v>
      </c>
      <c r="F540" s="1">
        <v>6</v>
      </c>
      <c r="G540" s="1">
        <v>502.21</v>
      </c>
      <c r="H540" s="2">
        <v>0.06</v>
      </c>
      <c r="I540" s="1" t="s">
        <v>14</v>
      </c>
      <c r="J540" s="1">
        <v>2.6</v>
      </c>
      <c r="K540" s="23">
        <v>2832.46</v>
      </c>
    </row>
    <row r="541" spans="1:11" x14ac:dyDescent="0.3">
      <c r="A541" s="1">
        <v>10540</v>
      </c>
      <c r="B541" s="3">
        <v>45101</v>
      </c>
      <c r="C541" s="3" t="str">
        <f>TEXT(Table1[[#This Row],[order_date]],"mmmm")</f>
        <v>June</v>
      </c>
      <c r="D541" s="1" t="s">
        <v>13</v>
      </c>
      <c r="E541" s="1" t="s">
        <v>11</v>
      </c>
      <c r="F541" s="1">
        <v>2</v>
      </c>
      <c r="G541" s="1">
        <v>26.25</v>
      </c>
      <c r="H541" s="2">
        <v>0.08</v>
      </c>
      <c r="I541" s="1" t="s">
        <v>16</v>
      </c>
      <c r="J541" s="1">
        <v>1.3</v>
      </c>
      <c r="K541" s="23">
        <v>48.3</v>
      </c>
    </row>
    <row r="542" spans="1:11" x14ac:dyDescent="0.3">
      <c r="A542" s="1">
        <v>10541</v>
      </c>
      <c r="B542" s="3">
        <v>45102</v>
      </c>
      <c r="C542" s="3" t="str">
        <f>TEXT(Table1[[#This Row],[order_date]],"mmmm")</f>
        <v>June</v>
      </c>
      <c r="D542" s="1" t="s">
        <v>13</v>
      </c>
      <c r="E542" s="1" t="s">
        <v>11</v>
      </c>
      <c r="F542" s="1">
        <v>5</v>
      </c>
      <c r="G542" s="1">
        <v>80.64</v>
      </c>
      <c r="H542" s="2">
        <v>0.23</v>
      </c>
      <c r="I542" s="1" t="s">
        <v>12</v>
      </c>
      <c r="J542" s="1">
        <v>2.7</v>
      </c>
      <c r="K542" s="23">
        <v>310.45999999999998</v>
      </c>
    </row>
    <row r="543" spans="1:11" x14ac:dyDescent="0.3">
      <c r="A543" s="1">
        <v>10542</v>
      </c>
      <c r="B543" s="3">
        <v>45103</v>
      </c>
      <c r="C543" s="3" t="str">
        <f>TEXT(Table1[[#This Row],[order_date]],"mmmm")</f>
        <v>June</v>
      </c>
      <c r="D543" s="1" t="s">
        <v>13</v>
      </c>
      <c r="E543" s="1" t="s">
        <v>19</v>
      </c>
      <c r="F543" s="1">
        <v>4</v>
      </c>
      <c r="G543" s="1">
        <v>594.48</v>
      </c>
      <c r="H543" s="2">
        <v>0.16</v>
      </c>
      <c r="I543" s="1" t="s">
        <v>14</v>
      </c>
      <c r="J543" s="1">
        <v>2.2000000000000002</v>
      </c>
      <c r="K543" s="23">
        <v>1997.45</v>
      </c>
    </row>
    <row r="544" spans="1:11" x14ac:dyDescent="0.3">
      <c r="A544" s="1">
        <v>10543</v>
      </c>
      <c r="B544" s="3">
        <v>45104</v>
      </c>
      <c r="C544" s="3" t="str">
        <f>TEXT(Table1[[#This Row],[order_date]],"mmmm")</f>
        <v>June</v>
      </c>
      <c r="D544" s="1" t="s">
        <v>17</v>
      </c>
      <c r="E544" s="1" t="s">
        <v>11</v>
      </c>
      <c r="F544" s="1">
        <v>2</v>
      </c>
      <c r="G544" s="1">
        <v>179.03</v>
      </c>
      <c r="H544" s="2">
        <v>0.17</v>
      </c>
      <c r="I544" s="1" t="s">
        <v>16</v>
      </c>
      <c r="J544" s="1">
        <v>3.4</v>
      </c>
      <c r="K544" s="23">
        <v>297.19</v>
      </c>
    </row>
    <row r="545" spans="1:11" x14ac:dyDescent="0.3">
      <c r="A545" s="1">
        <v>10544</v>
      </c>
      <c r="B545" s="3">
        <v>45105</v>
      </c>
      <c r="C545" s="3" t="str">
        <f>TEXT(Table1[[#This Row],[order_date]],"mmmm")</f>
        <v>June</v>
      </c>
      <c r="D545" s="1" t="s">
        <v>20</v>
      </c>
      <c r="E545" s="1" t="s">
        <v>15</v>
      </c>
      <c r="F545" s="1">
        <v>3</v>
      </c>
      <c r="G545" s="1">
        <v>585.69000000000005</v>
      </c>
      <c r="H545" s="2">
        <v>0.04</v>
      </c>
      <c r="I545" s="1" t="s">
        <v>12</v>
      </c>
      <c r="J545" s="1">
        <v>2.9</v>
      </c>
      <c r="K545" s="23">
        <v>1686.79</v>
      </c>
    </row>
    <row r="546" spans="1:11" x14ac:dyDescent="0.3">
      <c r="A546" s="1">
        <v>10545</v>
      </c>
      <c r="B546" s="3">
        <v>45106</v>
      </c>
      <c r="C546" s="3" t="str">
        <f>TEXT(Table1[[#This Row],[order_date]],"mmmm")</f>
        <v>June</v>
      </c>
      <c r="D546" s="1" t="s">
        <v>17</v>
      </c>
      <c r="E546" s="1" t="s">
        <v>11</v>
      </c>
      <c r="F546" s="1">
        <v>4</v>
      </c>
      <c r="G546" s="1">
        <v>121.78</v>
      </c>
      <c r="H546" s="2">
        <v>0.28000000000000003</v>
      </c>
      <c r="I546" s="1" t="s">
        <v>14</v>
      </c>
      <c r="J546" s="1">
        <v>2.2000000000000002</v>
      </c>
      <c r="K546" s="23">
        <v>350.73</v>
      </c>
    </row>
    <row r="547" spans="1:11" x14ac:dyDescent="0.3">
      <c r="A547" s="1">
        <v>10546</v>
      </c>
      <c r="B547" s="3">
        <v>45107</v>
      </c>
      <c r="C547" s="3" t="str">
        <f>TEXT(Table1[[#This Row],[order_date]],"mmmm")</f>
        <v>June</v>
      </c>
      <c r="D547" s="1" t="s">
        <v>17</v>
      </c>
      <c r="E547" s="1" t="s">
        <v>19</v>
      </c>
      <c r="F547" s="1">
        <v>2</v>
      </c>
      <c r="G547" s="1">
        <v>226.24</v>
      </c>
      <c r="H547" s="2">
        <v>0.22</v>
      </c>
      <c r="I547" s="1" t="s">
        <v>14</v>
      </c>
      <c r="J547" s="1">
        <v>4.4000000000000004</v>
      </c>
      <c r="K547" s="23">
        <v>352.93</v>
      </c>
    </row>
    <row r="548" spans="1:11" x14ac:dyDescent="0.3">
      <c r="A548" s="1">
        <v>10547</v>
      </c>
      <c r="B548" s="3">
        <v>45108</v>
      </c>
      <c r="C548" s="3" t="str">
        <f>TEXT(Table1[[#This Row],[order_date]],"mmmm")</f>
        <v>July</v>
      </c>
      <c r="D548" s="1" t="s">
        <v>10</v>
      </c>
      <c r="E548" s="1" t="s">
        <v>15</v>
      </c>
      <c r="F548" s="1">
        <v>1</v>
      </c>
      <c r="G548" s="1">
        <v>455.43</v>
      </c>
      <c r="H548" s="2">
        <v>0.05</v>
      </c>
      <c r="I548" s="1" t="s">
        <v>14</v>
      </c>
      <c r="J548" s="1">
        <v>2.6</v>
      </c>
      <c r="K548" s="23">
        <v>432.66</v>
      </c>
    </row>
    <row r="549" spans="1:11" x14ac:dyDescent="0.3">
      <c r="A549" s="1">
        <v>10548</v>
      </c>
      <c r="B549" s="3">
        <v>45109</v>
      </c>
      <c r="C549" s="3" t="str">
        <f>TEXT(Table1[[#This Row],[order_date]],"mmmm")</f>
        <v>July</v>
      </c>
      <c r="D549" s="1" t="s">
        <v>20</v>
      </c>
      <c r="E549" s="1" t="s">
        <v>15</v>
      </c>
      <c r="F549" s="1">
        <v>3</v>
      </c>
      <c r="G549" s="1">
        <v>399.8</v>
      </c>
      <c r="H549" s="2">
        <v>0.13</v>
      </c>
      <c r="I549" s="1" t="s">
        <v>14</v>
      </c>
      <c r="J549" s="1">
        <v>2.9</v>
      </c>
      <c r="K549" s="23">
        <v>1043.48</v>
      </c>
    </row>
    <row r="550" spans="1:11" x14ac:dyDescent="0.3">
      <c r="A550" s="1">
        <v>10549</v>
      </c>
      <c r="B550" s="3">
        <v>45110</v>
      </c>
      <c r="C550" s="3" t="str">
        <f>TEXT(Table1[[#This Row],[order_date]],"mmmm")</f>
        <v>July</v>
      </c>
      <c r="D550" s="1" t="s">
        <v>17</v>
      </c>
      <c r="E550" s="1" t="s">
        <v>11</v>
      </c>
      <c r="F550" s="1">
        <v>2</v>
      </c>
      <c r="G550" s="1">
        <v>354.96</v>
      </c>
      <c r="H550" s="2">
        <v>0.28000000000000003</v>
      </c>
      <c r="I550" s="1" t="s">
        <v>14</v>
      </c>
      <c r="J550" s="1">
        <v>4.4000000000000004</v>
      </c>
      <c r="K550" s="23">
        <v>511.14</v>
      </c>
    </row>
    <row r="551" spans="1:11" x14ac:dyDescent="0.3">
      <c r="A551" s="1">
        <v>10550</v>
      </c>
      <c r="B551" s="3">
        <v>45111</v>
      </c>
      <c r="C551" s="3" t="str">
        <f>TEXT(Table1[[#This Row],[order_date]],"mmmm")</f>
        <v>July</v>
      </c>
      <c r="D551" s="1" t="s">
        <v>17</v>
      </c>
      <c r="E551" s="1" t="s">
        <v>18</v>
      </c>
      <c r="F551" s="1">
        <v>6</v>
      </c>
      <c r="G551" s="1">
        <v>324.99</v>
      </c>
      <c r="H551" s="2">
        <v>0.2</v>
      </c>
      <c r="I551" s="1" t="s">
        <v>16</v>
      </c>
      <c r="J551" s="1">
        <v>1.4</v>
      </c>
      <c r="K551" s="23">
        <v>1559.95</v>
      </c>
    </row>
    <row r="552" spans="1:11" x14ac:dyDescent="0.3">
      <c r="A552" s="1">
        <v>10551</v>
      </c>
      <c r="B552" s="3">
        <v>45112</v>
      </c>
      <c r="C552" s="3" t="str">
        <f>TEXT(Table1[[#This Row],[order_date]],"mmmm")</f>
        <v>July</v>
      </c>
      <c r="D552" s="1" t="s">
        <v>17</v>
      </c>
      <c r="E552" s="1" t="s">
        <v>15</v>
      </c>
      <c r="F552" s="1">
        <v>1</v>
      </c>
      <c r="G552" s="1">
        <v>508.41</v>
      </c>
      <c r="H552" s="2">
        <v>0.04</v>
      </c>
      <c r="I552" s="1" t="s">
        <v>14</v>
      </c>
      <c r="J552" s="1">
        <v>2.6</v>
      </c>
      <c r="K552" s="23">
        <v>488.07</v>
      </c>
    </row>
    <row r="553" spans="1:11" x14ac:dyDescent="0.3">
      <c r="A553" s="1">
        <v>10552</v>
      </c>
      <c r="B553" s="3">
        <v>45113</v>
      </c>
      <c r="C553" s="3" t="str">
        <f>TEXT(Table1[[#This Row],[order_date]],"mmmm")</f>
        <v>July</v>
      </c>
      <c r="D553" s="1" t="s">
        <v>17</v>
      </c>
      <c r="E553" s="1" t="s">
        <v>19</v>
      </c>
      <c r="F553" s="1">
        <v>3</v>
      </c>
      <c r="G553" s="1">
        <v>152.44</v>
      </c>
      <c r="H553" s="2">
        <v>0.13</v>
      </c>
      <c r="I553" s="1" t="s">
        <v>12</v>
      </c>
      <c r="J553" s="1">
        <v>2.6</v>
      </c>
      <c r="K553" s="23">
        <v>397.87</v>
      </c>
    </row>
    <row r="554" spans="1:11" x14ac:dyDescent="0.3">
      <c r="A554" s="1">
        <v>10553</v>
      </c>
      <c r="B554" s="3">
        <v>45114</v>
      </c>
      <c r="C554" s="3" t="str">
        <f>TEXT(Table1[[#This Row],[order_date]],"mmmm")</f>
        <v>July</v>
      </c>
      <c r="D554" s="1" t="s">
        <v>17</v>
      </c>
      <c r="E554" s="1" t="s">
        <v>18</v>
      </c>
      <c r="F554" s="1">
        <v>5</v>
      </c>
      <c r="G554" s="1">
        <v>273.85000000000002</v>
      </c>
      <c r="H554" s="2">
        <v>0.08</v>
      </c>
      <c r="I554" s="1" t="s">
        <v>14</v>
      </c>
      <c r="J554" s="1">
        <v>3</v>
      </c>
      <c r="K554" s="23">
        <v>1259.71</v>
      </c>
    </row>
    <row r="555" spans="1:11" x14ac:dyDescent="0.3">
      <c r="A555" s="1">
        <v>10554</v>
      </c>
      <c r="B555" s="3">
        <v>45115</v>
      </c>
      <c r="C555" s="3" t="str">
        <f>TEXT(Table1[[#This Row],[order_date]],"mmmm")</f>
        <v>July</v>
      </c>
      <c r="D555" s="1" t="s">
        <v>17</v>
      </c>
      <c r="E555" s="1" t="s">
        <v>18</v>
      </c>
      <c r="F555" s="1">
        <v>7</v>
      </c>
      <c r="G555" s="1">
        <v>105.94</v>
      </c>
      <c r="H555" s="2">
        <v>0.18</v>
      </c>
      <c r="I555" s="1" t="s">
        <v>16</v>
      </c>
      <c r="J555" s="1">
        <v>1.4</v>
      </c>
      <c r="K555" s="23">
        <v>608.1</v>
      </c>
    </row>
    <row r="556" spans="1:11" x14ac:dyDescent="0.3">
      <c r="A556" s="1">
        <v>10555</v>
      </c>
      <c r="B556" s="3">
        <v>45116</v>
      </c>
      <c r="C556" s="3" t="str">
        <f>TEXT(Table1[[#This Row],[order_date]],"mmmm")</f>
        <v>July</v>
      </c>
      <c r="D556" s="1" t="s">
        <v>13</v>
      </c>
      <c r="E556" s="1" t="s">
        <v>15</v>
      </c>
      <c r="F556" s="1">
        <v>3</v>
      </c>
      <c r="G556" s="1">
        <v>363.63</v>
      </c>
      <c r="H556" s="2">
        <v>0.3</v>
      </c>
      <c r="I556" s="1" t="s">
        <v>16</v>
      </c>
      <c r="J556" s="1">
        <v>1.4</v>
      </c>
      <c r="K556" s="23">
        <v>763.62</v>
      </c>
    </row>
    <row r="557" spans="1:11" x14ac:dyDescent="0.3">
      <c r="A557" s="1">
        <v>10556</v>
      </c>
      <c r="B557" s="3">
        <v>45117</v>
      </c>
      <c r="C557" s="3" t="str">
        <f>TEXT(Table1[[#This Row],[order_date]],"mmmm")</f>
        <v>July</v>
      </c>
      <c r="D557" s="1" t="s">
        <v>20</v>
      </c>
      <c r="E557" s="1" t="s">
        <v>11</v>
      </c>
      <c r="F557" s="1">
        <v>6</v>
      </c>
      <c r="G557" s="1">
        <v>161.57</v>
      </c>
      <c r="H557" s="2">
        <v>0.15</v>
      </c>
      <c r="I557" s="1" t="s">
        <v>12</v>
      </c>
      <c r="J557" s="1">
        <v>2.7</v>
      </c>
      <c r="K557" s="23">
        <v>824.01</v>
      </c>
    </row>
    <row r="558" spans="1:11" x14ac:dyDescent="0.3">
      <c r="A558" s="1">
        <v>10557</v>
      </c>
      <c r="B558" s="3">
        <v>45118</v>
      </c>
      <c r="C558" s="3" t="str">
        <f>TEXT(Table1[[#This Row],[order_date]],"mmmm")</f>
        <v>July</v>
      </c>
      <c r="D558" s="1" t="s">
        <v>13</v>
      </c>
      <c r="E558" s="1" t="s">
        <v>18</v>
      </c>
      <c r="F558" s="1">
        <v>5</v>
      </c>
      <c r="G558" s="1">
        <v>210.3</v>
      </c>
      <c r="H558" s="2">
        <v>0.15</v>
      </c>
      <c r="I558" s="1" t="s">
        <v>16</v>
      </c>
      <c r="J558" s="1">
        <v>1.1000000000000001</v>
      </c>
      <c r="K558" s="23">
        <v>893.78</v>
      </c>
    </row>
    <row r="559" spans="1:11" x14ac:dyDescent="0.3">
      <c r="A559" s="1">
        <v>10558</v>
      </c>
      <c r="B559" s="3">
        <v>45119</v>
      </c>
      <c r="C559" s="3" t="str">
        <f>TEXT(Table1[[#This Row],[order_date]],"mmmm")</f>
        <v>July</v>
      </c>
      <c r="D559" s="1" t="s">
        <v>20</v>
      </c>
      <c r="E559" s="1" t="s">
        <v>11</v>
      </c>
      <c r="F559" s="1">
        <v>5</v>
      </c>
      <c r="G559" s="1">
        <v>290.68</v>
      </c>
      <c r="H559" s="2">
        <v>0.32</v>
      </c>
      <c r="I559" s="1" t="s">
        <v>14</v>
      </c>
      <c r="J559" s="1">
        <v>2</v>
      </c>
      <c r="K559" s="23">
        <v>988.31</v>
      </c>
    </row>
    <row r="560" spans="1:11" x14ac:dyDescent="0.3">
      <c r="A560" s="1">
        <v>10559</v>
      </c>
      <c r="B560" s="3">
        <v>45120</v>
      </c>
      <c r="C560" s="3" t="str">
        <f>TEXT(Table1[[#This Row],[order_date]],"mmmm")</f>
        <v>July</v>
      </c>
      <c r="D560" s="1" t="s">
        <v>17</v>
      </c>
      <c r="E560" s="1" t="s">
        <v>15</v>
      </c>
      <c r="F560" s="1">
        <v>5</v>
      </c>
      <c r="G560" s="1">
        <v>30.66</v>
      </c>
      <c r="H560" s="2">
        <v>0.2</v>
      </c>
      <c r="I560" s="1" t="s">
        <v>12</v>
      </c>
      <c r="J560" s="1">
        <v>1.8</v>
      </c>
      <c r="K560" s="23">
        <v>122.64</v>
      </c>
    </row>
    <row r="561" spans="1:11" x14ac:dyDescent="0.3">
      <c r="A561" s="1">
        <v>10560</v>
      </c>
      <c r="B561" s="3">
        <v>45121</v>
      </c>
      <c r="C561" s="3" t="str">
        <f>TEXT(Table1[[#This Row],[order_date]],"mmmm")</f>
        <v>July</v>
      </c>
      <c r="D561" s="1" t="s">
        <v>10</v>
      </c>
      <c r="E561" s="1" t="s">
        <v>19</v>
      </c>
      <c r="F561" s="1">
        <v>4</v>
      </c>
      <c r="G561" s="1">
        <v>68.78</v>
      </c>
      <c r="H561" s="2">
        <v>0.2</v>
      </c>
      <c r="I561" s="1" t="s">
        <v>14</v>
      </c>
      <c r="J561" s="1">
        <v>3</v>
      </c>
      <c r="K561" s="23">
        <v>220.1</v>
      </c>
    </row>
    <row r="562" spans="1:11" x14ac:dyDescent="0.3">
      <c r="A562" s="1">
        <v>10561</v>
      </c>
      <c r="B562" s="3">
        <v>45122</v>
      </c>
      <c r="C562" s="3" t="str">
        <f>TEXT(Table1[[#This Row],[order_date]],"mmmm")</f>
        <v>July</v>
      </c>
      <c r="D562" s="1" t="s">
        <v>20</v>
      </c>
      <c r="E562" s="1" t="s">
        <v>18</v>
      </c>
      <c r="F562" s="1">
        <v>4</v>
      </c>
      <c r="G562" s="1">
        <v>416.27</v>
      </c>
      <c r="H562" s="2">
        <v>0.09</v>
      </c>
      <c r="I562" s="1" t="s">
        <v>14</v>
      </c>
      <c r="J562" s="1">
        <v>1</v>
      </c>
      <c r="K562" s="23">
        <v>1515.22</v>
      </c>
    </row>
    <row r="563" spans="1:11" x14ac:dyDescent="0.3">
      <c r="A563" s="1">
        <v>10562</v>
      </c>
      <c r="B563" s="3">
        <v>45123</v>
      </c>
      <c r="C563" s="3" t="str">
        <f>TEXT(Table1[[#This Row],[order_date]],"mmmm")</f>
        <v>July</v>
      </c>
      <c r="D563" s="1" t="s">
        <v>20</v>
      </c>
      <c r="E563" s="1" t="s">
        <v>19</v>
      </c>
      <c r="F563" s="1">
        <v>7</v>
      </c>
      <c r="G563" s="1">
        <v>265.95</v>
      </c>
      <c r="H563" s="2">
        <v>0.21</v>
      </c>
      <c r="I563" s="1" t="s">
        <v>14</v>
      </c>
      <c r="J563" s="1">
        <v>3.7</v>
      </c>
      <c r="K563" s="23">
        <v>1470.7</v>
      </c>
    </row>
    <row r="564" spans="1:11" x14ac:dyDescent="0.3">
      <c r="A564" s="1">
        <v>10563</v>
      </c>
      <c r="B564" s="3">
        <v>45124</v>
      </c>
      <c r="C564" s="3" t="str">
        <f>TEXT(Table1[[#This Row],[order_date]],"mmmm")</f>
        <v>July</v>
      </c>
      <c r="D564" s="1" t="s">
        <v>20</v>
      </c>
      <c r="E564" s="1" t="s">
        <v>11</v>
      </c>
      <c r="F564" s="1">
        <v>5</v>
      </c>
      <c r="G564" s="1">
        <v>520.9</v>
      </c>
      <c r="H564" s="2">
        <v>0.2</v>
      </c>
      <c r="I564" s="1" t="s">
        <v>16</v>
      </c>
      <c r="J564" s="1">
        <v>4.4000000000000004</v>
      </c>
      <c r="K564" s="23">
        <v>2083.6</v>
      </c>
    </row>
    <row r="565" spans="1:11" x14ac:dyDescent="0.3">
      <c r="A565" s="1">
        <v>10564</v>
      </c>
      <c r="B565" s="3">
        <v>45125</v>
      </c>
      <c r="C565" s="3" t="str">
        <f>TEXT(Table1[[#This Row],[order_date]],"mmmm")</f>
        <v>July</v>
      </c>
      <c r="D565" s="1" t="s">
        <v>10</v>
      </c>
      <c r="E565" s="1" t="s">
        <v>11</v>
      </c>
      <c r="F565" s="1">
        <v>7</v>
      </c>
      <c r="G565" s="1">
        <v>421.38</v>
      </c>
      <c r="H565" s="2">
        <v>0.14000000000000001</v>
      </c>
      <c r="I565" s="1" t="s">
        <v>14</v>
      </c>
      <c r="J565" s="1">
        <v>3.8</v>
      </c>
      <c r="K565" s="23">
        <v>2536.71</v>
      </c>
    </row>
    <row r="566" spans="1:11" x14ac:dyDescent="0.3">
      <c r="A566" s="1">
        <v>10565</v>
      </c>
      <c r="B566" s="3">
        <v>45126</v>
      </c>
      <c r="C566" s="3" t="str">
        <f>TEXT(Table1[[#This Row],[order_date]],"mmmm")</f>
        <v>July</v>
      </c>
      <c r="D566" s="1" t="s">
        <v>13</v>
      </c>
      <c r="E566" s="1" t="s">
        <v>19</v>
      </c>
      <c r="F566" s="1">
        <v>1</v>
      </c>
      <c r="G566" s="1">
        <v>19.739999999999998</v>
      </c>
      <c r="H566" s="2">
        <v>0.35</v>
      </c>
      <c r="I566" s="1" t="s">
        <v>16</v>
      </c>
      <c r="J566" s="1">
        <v>4.3</v>
      </c>
      <c r="K566" s="23">
        <v>12.83</v>
      </c>
    </row>
    <row r="567" spans="1:11" x14ac:dyDescent="0.3">
      <c r="A567" s="1">
        <v>10566</v>
      </c>
      <c r="B567" s="3">
        <v>45127</v>
      </c>
      <c r="C567" s="3" t="str">
        <f>TEXT(Table1[[#This Row],[order_date]],"mmmm")</f>
        <v>July</v>
      </c>
      <c r="D567" s="1" t="s">
        <v>17</v>
      </c>
      <c r="E567" s="1" t="s">
        <v>15</v>
      </c>
      <c r="F567" s="1">
        <v>5</v>
      </c>
      <c r="G567" s="1">
        <v>375.78</v>
      </c>
      <c r="H567" s="2">
        <v>0.31</v>
      </c>
      <c r="I567" s="1" t="s">
        <v>16</v>
      </c>
      <c r="J567" s="1">
        <v>3.6</v>
      </c>
      <c r="K567" s="23">
        <v>1296.44</v>
      </c>
    </row>
    <row r="568" spans="1:11" x14ac:dyDescent="0.3">
      <c r="A568" s="1">
        <v>10567</v>
      </c>
      <c r="B568" s="3">
        <v>45128</v>
      </c>
      <c r="C568" s="3" t="str">
        <f>TEXT(Table1[[#This Row],[order_date]],"mmmm")</f>
        <v>July</v>
      </c>
      <c r="D568" s="1" t="s">
        <v>13</v>
      </c>
      <c r="E568" s="1" t="s">
        <v>15</v>
      </c>
      <c r="F568" s="1">
        <v>2</v>
      </c>
      <c r="G568" s="1">
        <v>69.83</v>
      </c>
      <c r="H568" s="2">
        <v>0.26</v>
      </c>
      <c r="I568" s="1" t="s">
        <v>12</v>
      </c>
      <c r="J568" s="1">
        <v>3</v>
      </c>
      <c r="K568" s="23">
        <v>103.35</v>
      </c>
    </row>
    <row r="569" spans="1:11" x14ac:dyDescent="0.3">
      <c r="A569" s="1">
        <v>10568</v>
      </c>
      <c r="B569" s="3">
        <v>45129</v>
      </c>
      <c r="C569" s="3" t="str">
        <f>TEXT(Table1[[#This Row],[order_date]],"mmmm")</f>
        <v>July</v>
      </c>
      <c r="D569" s="1" t="s">
        <v>20</v>
      </c>
      <c r="E569" s="1" t="s">
        <v>18</v>
      </c>
      <c r="F569" s="1">
        <v>5</v>
      </c>
      <c r="G569" s="1">
        <v>471.85</v>
      </c>
      <c r="H569" s="2">
        <v>0.19</v>
      </c>
      <c r="I569" s="1" t="s">
        <v>14</v>
      </c>
      <c r="J569" s="1">
        <v>1.9</v>
      </c>
      <c r="K569" s="23">
        <v>1910.99</v>
      </c>
    </row>
    <row r="570" spans="1:11" x14ac:dyDescent="0.3">
      <c r="A570" s="1">
        <v>10569</v>
      </c>
      <c r="B570" s="3">
        <v>45130</v>
      </c>
      <c r="C570" s="3" t="str">
        <f>TEXT(Table1[[#This Row],[order_date]],"mmmm")</f>
        <v>July</v>
      </c>
      <c r="D570" s="1" t="s">
        <v>20</v>
      </c>
      <c r="E570" s="1" t="s">
        <v>18</v>
      </c>
      <c r="F570" s="1">
        <v>4</v>
      </c>
      <c r="G570" s="1">
        <v>595.03</v>
      </c>
      <c r="H570" s="2">
        <v>0.16</v>
      </c>
      <c r="I570" s="1" t="s">
        <v>14</v>
      </c>
      <c r="J570" s="1">
        <v>2.1</v>
      </c>
      <c r="K570" s="23">
        <v>1999.3</v>
      </c>
    </row>
    <row r="571" spans="1:11" x14ac:dyDescent="0.3">
      <c r="A571" s="1">
        <v>10570</v>
      </c>
      <c r="B571" s="3">
        <v>45131</v>
      </c>
      <c r="C571" s="3" t="str">
        <f>TEXT(Table1[[#This Row],[order_date]],"mmmm")</f>
        <v>July</v>
      </c>
      <c r="D571" s="1" t="s">
        <v>13</v>
      </c>
      <c r="E571" s="1" t="s">
        <v>15</v>
      </c>
      <c r="F571" s="1">
        <v>4</v>
      </c>
      <c r="G571" s="1">
        <v>325.75</v>
      </c>
      <c r="H571" s="2">
        <v>0.06</v>
      </c>
      <c r="I571" s="1" t="s">
        <v>14</v>
      </c>
      <c r="J571" s="1">
        <v>2.2999999999999998</v>
      </c>
      <c r="K571" s="23">
        <v>1224.82</v>
      </c>
    </row>
    <row r="572" spans="1:11" x14ac:dyDescent="0.3">
      <c r="A572" s="1">
        <v>10571</v>
      </c>
      <c r="B572" s="3">
        <v>45132</v>
      </c>
      <c r="C572" s="3" t="str">
        <f>TEXT(Table1[[#This Row],[order_date]],"mmmm")</f>
        <v>July</v>
      </c>
      <c r="D572" s="1" t="s">
        <v>17</v>
      </c>
      <c r="E572" s="1" t="s">
        <v>15</v>
      </c>
      <c r="F572" s="1">
        <v>2</v>
      </c>
      <c r="G572" s="1">
        <v>414.43</v>
      </c>
      <c r="H572" s="2">
        <v>0.11</v>
      </c>
      <c r="I572" s="1" t="s">
        <v>14</v>
      </c>
      <c r="J572" s="1">
        <v>1.2</v>
      </c>
      <c r="K572" s="23">
        <v>737.69</v>
      </c>
    </row>
    <row r="573" spans="1:11" x14ac:dyDescent="0.3">
      <c r="A573" s="1">
        <v>10572</v>
      </c>
      <c r="B573" s="3">
        <v>45133</v>
      </c>
      <c r="C573" s="3" t="str">
        <f>TEXT(Table1[[#This Row],[order_date]],"mmmm")</f>
        <v>July</v>
      </c>
      <c r="D573" s="1" t="s">
        <v>13</v>
      </c>
      <c r="E573" s="1" t="s">
        <v>19</v>
      </c>
      <c r="F573" s="1">
        <v>2</v>
      </c>
      <c r="G573" s="1">
        <v>153.83000000000001</v>
      </c>
      <c r="H573" s="2">
        <v>0.27</v>
      </c>
      <c r="I573" s="1" t="s">
        <v>16</v>
      </c>
      <c r="J573" s="1">
        <v>4.7</v>
      </c>
      <c r="K573" s="23">
        <v>224.59</v>
      </c>
    </row>
    <row r="574" spans="1:11" x14ac:dyDescent="0.3">
      <c r="A574" s="1">
        <v>10573</v>
      </c>
      <c r="B574" s="3">
        <v>45134</v>
      </c>
      <c r="C574" s="3" t="str">
        <f>TEXT(Table1[[#This Row],[order_date]],"mmmm")</f>
        <v>July</v>
      </c>
      <c r="D574" s="1" t="s">
        <v>10</v>
      </c>
      <c r="E574" s="1" t="s">
        <v>11</v>
      </c>
      <c r="F574" s="1">
        <v>3</v>
      </c>
      <c r="G574" s="1">
        <v>270.99</v>
      </c>
      <c r="H574" s="2">
        <v>0.16</v>
      </c>
      <c r="I574" s="1" t="s">
        <v>16</v>
      </c>
      <c r="J574" s="1">
        <v>4.5999999999999996</v>
      </c>
      <c r="K574" s="23">
        <v>682.89</v>
      </c>
    </row>
    <row r="575" spans="1:11" x14ac:dyDescent="0.3">
      <c r="A575" s="1">
        <v>10574</v>
      </c>
      <c r="B575" s="3">
        <v>45135</v>
      </c>
      <c r="C575" s="3" t="str">
        <f>TEXT(Table1[[#This Row],[order_date]],"mmmm")</f>
        <v>July</v>
      </c>
      <c r="D575" s="1" t="s">
        <v>13</v>
      </c>
      <c r="E575" s="1" t="s">
        <v>11</v>
      </c>
      <c r="F575" s="1">
        <v>1</v>
      </c>
      <c r="G575" s="1">
        <v>515.82000000000005</v>
      </c>
      <c r="H575" s="2">
        <v>0.31</v>
      </c>
      <c r="I575" s="1" t="s">
        <v>16</v>
      </c>
      <c r="J575" s="1">
        <v>1.4</v>
      </c>
      <c r="K575" s="23">
        <v>355.92</v>
      </c>
    </row>
    <row r="576" spans="1:11" x14ac:dyDescent="0.3">
      <c r="A576" s="1">
        <v>10575</v>
      </c>
      <c r="B576" s="3">
        <v>45136</v>
      </c>
      <c r="C576" s="3" t="str">
        <f>TEXT(Table1[[#This Row],[order_date]],"mmmm")</f>
        <v>July</v>
      </c>
      <c r="D576" s="1" t="s">
        <v>13</v>
      </c>
      <c r="E576" s="1" t="s">
        <v>18</v>
      </c>
      <c r="F576" s="1">
        <v>1</v>
      </c>
      <c r="G576" s="1">
        <v>112.94</v>
      </c>
      <c r="H576" s="2">
        <v>0.05</v>
      </c>
      <c r="I576" s="1" t="s">
        <v>12</v>
      </c>
      <c r="J576" s="1">
        <v>3.2</v>
      </c>
      <c r="K576" s="23">
        <v>107.29</v>
      </c>
    </row>
    <row r="577" spans="1:11" x14ac:dyDescent="0.3">
      <c r="A577" s="1">
        <v>10576</v>
      </c>
      <c r="B577" s="3">
        <v>45137</v>
      </c>
      <c r="C577" s="3" t="str">
        <f>TEXT(Table1[[#This Row],[order_date]],"mmmm")</f>
        <v>July</v>
      </c>
      <c r="D577" s="1" t="s">
        <v>17</v>
      </c>
      <c r="E577" s="1" t="s">
        <v>15</v>
      </c>
      <c r="F577" s="1">
        <v>1</v>
      </c>
      <c r="G577" s="1">
        <v>170.34</v>
      </c>
      <c r="H577" s="2">
        <v>0.18</v>
      </c>
      <c r="I577" s="1" t="s">
        <v>12</v>
      </c>
      <c r="J577" s="1">
        <v>2.9</v>
      </c>
      <c r="K577" s="23">
        <v>139.68</v>
      </c>
    </row>
    <row r="578" spans="1:11" x14ac:dyDescent="0.3">
      <c r="A578" s="1">
        <v>10577</v>
      </c>
      <c r="B578" s="3">
        <v>45138</v>
      </c>
      <c r="C578" s="3" t="str">
        <f>TEXT(Table1[[#This Row],[order_date]],"mmmm")</f>
        <v>July</v>
      </c>
      <c r="D578" s="1" t="s">
        <v>13</v>
      </c>
      <c r="E578" s="1" t="s">
        <v>19</v>
      </c>
      <c r="F578" s="1">
        <v>6</v>
      </c>
      <c r="G578" s="1">
        <v>275.58</v>
      </c>
      <c r="H578" s="2">
        <v>0.23</v>
      </c>
      <c r="I578" s="1" t="s">
        <v>14</v>
      </c>
      <c r="J578" s="1">
        <v>3.7</v>
      </c>
      <c r="K578" s="23">
        <v>1273.18</v>
      </c>
    </row>
    <row r="579" spans="1:11" x14ac:dyDescent="0.3">
      <c r="A579" s="1">
        <v>10578</v>
      </c>
      <c r="B579" s="3">
        <v>45139</v>
      </c>
      <c r="C579" s="3" t="str">
        <f>TEXT(Table1[[#This Row],[order_date]],"mmmm")</f>
        <v>August</v>
      </c>
      <c r="D579" s="1" t="s">
        <v>10</v>
      </c>
      <c r="E579" s="1" t="s">
        <v>18</v>
      </c>
      <c r="F579" s="1">
        <v>4</v>
      </c>
      <c r="G579" s="1">
        <v>431.67</v>
      </c>
      <c r="H579" s="2">
        <v>0.18</v>
      </c>
      <c r="I579" s="1" t="s">
        <v>12</v>
      </c>
      <c r="J579" s="1">
        <v>3.4</v>
      </c>
      <c r="K579" s="23">
        <v>1415.88</v>
      </c>
    </row>
    <row r="580" spans="1:11" x14ac:dyDescent="0.3">
      <c r="A580" s="1">
        <v>10579</v>
      </c>
      <c r="B580" s="3">
        <v>45140</v>
      </c>
      <c r="C580" s="3" t="str">
        <f>TEXT(Table1[[#This Row],[order_date]],"mmmm")</f>
        <v>August</v>
      </c>
      <c r="D580" s="1" t="s">
        <v>20</v>
      </c>
      <c r="E580" s="1" t="s">
        <v>19</v>
      </c>
      <c r="F580" s="1">
        <v>1</v>
      </c>
      <c r="G580" s="1">
        <v>234.89</v>
      </c>
      <c r="H580" s="2">
        <v>0.31</v>
      </c>
      <c r="I580" s="1" t="s">
        <v>14</v>
      </c>
      <c r="J580" s="1">
        <v>1.5</v>
      </c>
      <c r="K580" s="23">
        <v>162.07</v>
      </c>
    </row>
    <row r="581" spans="1:11" x14ac:dyDescent="0.3">
      <c r="A581" s="1">
        <v>10580</v>
      </c>
      <c r="B581" s="3">
        <v>45141</v>
      </c>
      <c r="C581" s="3" t="str">
        <f>TEXT(Table1[[#This Row],[order_date]],"mmmm")</f>
        <v>August</v>
      </c>
      <c r="D581" s="1" t="s">
        <v>20</v>
      </c>
      <c r="E581" s="1" t="s">
        <v>15</v>
      </c>
      <c r="F581" s="1">
        <v>3</v>
      </c>
      <c r="G581" s="1">
        <v>557.72</v>
      </c>
      <c r="H581" s="2">
        <v>0.35</v>
      </c>
      <c r="I581" s="1" t="s">
        <v>16</v>
      </c>
      <c r="J581" s="1">
        <v>3.6</v>
      </c>
      <c r="K581" s="23">
        <v>1087.55</v>
      </c>
    </row>
    <row r="582" spans="1:11" x14ac:dyDescent="0.3">
      <c r="A582" s="1">
        <v>10581</v>
      </c>
      <c r="B582" s="3">
        <v>45142</v>
      </c>
      <c r="C582" s="3" t="str">
        <f>TEXT(Table1[[#This Row],[order_date]],"mmmm")</f>
        <v>August</v>
      </c>
      <c r="D582" s="1" t="s">
        <v>13</v>
      </c>
      <c r="E582" s="1" t="s">
        <v>15</v>
      </c>
      <c r="F582" s="1">
        <v>3</v>
      </c>
      <c r="G582" s="1">
        <v>70.260000000000005</v>
      </c>
      <c r="H582" s="2">
        <v>0.04</v>
      </c>
      <c r="I582" s="1" t="s">
        <v>16</v>
      </c>
      <c r="J582" s="1">
        <v>3.4</v>
      </c>
      <c r="K582" s="23">
        <v>202.35</v>
      </c>
    </row>
    <row r="583" spans="1:11" x14ac:dyDescent="0.3">
      <c r="A583" s="1">
        <v>10582</v>
      </c>
      <c r="B583" s="3">
        <v>45143</v>
      </c>
      <c r="C583" s="3" t="str">
        <f>TEXT(Table1[[#This Row],[order_date]],"mmmm")</f>
        <v>August</v>
      </c>
      <c r="D583" s="1" t="s">
        <v>13</v>
      </c>
      <c r="E583" s="1" t="s">
        <v>15</v>
      </c>
      <c r="F583" s="1">
        <v>1</v>
      </c>
      <c r="G583" s="1">
        <v>231.92</v>
      </c>
      <c r="H583" s="2">
        <v>0.05</v>
      </c>
      <c r="I583" s="1" t="s">
        <v>12</v>
      </c>
      <c r="J583" s="1">
        <v>3.1</v>
      </c>
      <c r="K583" s="23">
        <v>220.32</v>
      </c>
    </row>
    <row r="584" spans="1:11" x14ac:dyDescent="0.3">
      <c r="A584" s="1">
        <v>10583</v>
      </c>
      <c r="B584" s="3">
        <v>45144</v>
      </c>
      <c r="C584" s="3" t="str">
        <f>TEXT(Table1[[#This Row],[order_date]],"mmmm")</f>
        <v>August</v>
      </c>
      <c r="D584" s="1" t="s">
        <v>17</v>
      </c>
      <c r="E584" s="1" t="s">
        <v>11</v>
      </c>
      <c r="F584" s="1">
        <v>2</v>
      </c>
      <c r="G584" s="1">
        <v>429.74</v>
      </c>
      <c r="H584" s="2">
        <v>0.05</v>
      </c>
      <c r="I584" s="1" t="s">
        <v>16</v>
      </c>
      <c r="J584" s="1">
        <v>2.6</v>
      </c>
      <c r="K584" s="23">
        <v>816.51</v>
      </c>
    </row>
    <row r="585" spans="1:11" x14ac:dyDescent="0.3">
      <c r="A585" s="1">
        <v>10584</v>
      </c>
      <c r="B585" s="3">
        <v>45145</v>
      </c>
      <c r="C585" s="3" t="str">
        <f>TEXT(Table1[[#This Row],[order_date]],"mmmm")</f>
        <v>August</v>
      </c>
      <c r="D585" s="1" t="s">
        <v>20</v>
      </c>
      <c r="E585" s="1" t="s">
        <v>15</v>
      </c>
      <c r="F585" s="1">
        <v>3</v>
      </c>
      <c r="G585" s="1">
        <v>147.19999999999999</v>
      </c>
      <c r="H585" s="2">
        <v>0.24</v>
      </c>
      <c r="I585" s="1" t="s">
        <v>16</v>
      </c>
      <c r="J585" s="1">
        <v>4.8</v>
      </c>
      <c r="K585" s="23">
        <v>335.62</v>
      </c>
    </row>
    <row r="586" spans="1:11" x14ac:dyDescent="0.3">
      <c r="A586" s="1">
        <v>10585</v>
      </c>
      <c r="B586" s="3">
        <v>45146</v>
      </c>
      <c r="C586" s="3" t="str">
        <f>TEXT(Table1[[#This Row],[order_date]],"mmmm")</f>
        <v>August</v>
      </c>
      <c r="D586" s="1" t="s">
        <v>13</v>
      </c>
      <c r="E586" s="1" t="s">
        <v>18</v>
      </c>
      <c r="F586" s="1">
        <v>7</v>
      </c>
      <c r="G586" s="1">
        <v>399</v>
      </c>
      <c r="H586" s="2">
        <v>0.13</v>
      </c>
      <c r="I586" s="1" t="s">
        <v>12</v>
      </c>
      <c r="J586" s="1">
        <v>4.4000000000000004</v>
      </c>
      <c r="K586" s="23">
        <v>2429.91</v>
      </c>
    </row>
    <row r="587" spans="1:11" x14ac:dyDescent="0.3">
      <c r="A587" s="1">
        <v>10586</v>
      </c>
      <c r="B587" s="3">
        <v>45147</v>
      </c>
      <c r="C587" s="3" t="str">
        <f>TEXT(Table1[[#This Row],[order_date]],"mmmm")</f>
        <v>August</v>
      </c>
      <c r="D587" s="1" t="s">
        <v>13</v>
      </c>
      <c r="E587" s="1" t="s">
        <v>11</v>
      </c>
      <c r="F587" s="1">
        <v>2</v>
      </c>
      <c r="G587" s="1">
        <v>111.07</v>
      </c>
      <c r="H587" s="2">
        <v>0.26</v>
      </c>
      <c r="I587" s="1" t="s">
        <v>16</v>
      </c>
      <c r="J587" s="1">
        <v>3.3</v>
      </c>
      <c r="K587" s="23">
        <v>164.38</v>
      </c>
    </row>
    <row r="588" spans="1:11" x14ac:dyDescent="0.3">
      <c r="A588" s="1">
        <v>10587</v>
      </c>
      <c r="B588" s="3">
        <v>45148</v>
      </c>
      <c r="C588" s="3" t="str">
        <f>TEXT(Table1[[#This Row],[order_date]],"mmmm")</f>
        <v>August</v>
      </c>
      <c r="D588" s="1" t="s">
        <v>13</v>
      </c>
      <c r="E588" s="1" t="s">
        <v>19</v>
      </c>
      <c r="F588" s="1">
        <v>7</v>
      </c>
      <c r="G588" s="1">
        <v>47.75</v>
      </c>
      <c r="H588" s="2">
        <v>0.14000000000000001</v>
      </c>
      <c r="I588" s="1" t="s">
        <v>16</v>
      </c>
      <c r="J588" s="1">
        <v>1</v>
      </c>
      <c r="K588" s="23">
        <v>287.45999999999998</v>
      </c>
    </row>
    <row r="589" spans="1:11" x14ac:dyDescent="0.3">
      <c r="A589" s="1">
        <v>10588</v>
      </c>
      <c r="B589" s="3">
        <v>45149</v>
      </c>
      <c r="C589" s="3" t="str">
        <f>TEXT(Table1[[#This Row],[order_date]],"mmmm")</f>
        <v>August</v>
      </c>
      <c r="D589" s="1" t="s">
        <v>10</v>
      </c>
      <c r="E589" s="1" t="s">
        <v>18</v>
      </c>
      <c r="F589" s="1">
        <v>4</v>
      </c>
      <c r="G589" s="1">
        <v>85.79</v>
      </c>
      <c r="H589" s="2">
        <v>0.22</v>
      </c>
      <c r="I589" s="1" t="s">
        <v>14</v>
      </c>
      <c r="J589" s="1">
        <v>2.7</v>
      </c>
      <c r="K589" s="23">
        <v>267.66000000000003</v>
      </c>
    </row>
    <row r="590" spans="1:11" x14ac:dyDescent="0.3">
      <c r="A590" s="1">
        <v>10589</v>
      </c>
      <c r="B590" s="3">
        <v>45150</v>
      </c>
      <c r="C590" s="3" t="str">
        <f>TEXT(Table1[[#This Row],[order_date]],"mmmm")</f>
        <v>August</v>
      </c>
      <c r="D590" s="1" t="s">
        <v>17</v>
      </c>
      <c r="E590" s="1" t="s">
        <v>18</v>
      </c>
      <c r="F590" s="1">
        <v>6</v>
      </c>
      <c r="G590" s="1">
        <v>559.04</v>
      </c>
      <c r="H590" s="2">
        <v>0.27</v>
      </c>
      <c r="I590" s="1" t="s">
        <v>14</v>
      </c>
      <c r="J590" s="1">
        <v>3.8</v>
      </c>
      <c r="K590" s="23">
        <v>2448.6</v>
      </c>
    </row>
    <row r="591" spans="1:11" x14ac:dyDescent="0.3">
      <c r="A591" s="1">
        <v>10590</v>
      </c>
      <c r="B591" s="3">
        <v>45151</v>
      </c>
      <c r="C591" s="3" t="str">
        <f>TEXT(Table1[[#This Row],[order_date]],"mmmm")</f>
        <v>August</v>
      </c>
      <c r="D591" s="1" t="s">
        <v>20</v>
      </c>
      <c r="E591" s="1" t="s">
        <v>19</v>
      </c>
      <c r="F591" s="1">
        <v>3</v>
      </c>
      <c r="G591" s="1">
        <v>337.77</v>
      </c>
      <c r="H591" s="2">
        <v>0.19</v>
      </c>
      <c r="I591" s="1" t="s">
        <v>12</v>
      </c>
      <c r="J591" s="1">
        <v>1.5</v>
      </c>
      <c r="K591" s="23">
        <v>820.78</v>
      </c>
    </row>
    <row r="592" spans="1:11" x14ac:dyDescent="0.3">
      <c r="A592" s="1">
        <v>10591</v>
      </c>
      <c r="B592" s="3">
        <v>45152</v>
      </c>
      <c r="C592" s="3" t="str">
        <f>TEXT(Table1[[#This Row],[order_date]],"mmmm")</f>
        <v>August</v>
      </c>
      <c r="D592" s="1" t="s">
        <v>17</v>
      </c>
      <c r="E592" s="1" t="s">
        <v>11</v>
      </c>
      <c r="F592" s="1">
        <v>2</v>
      </c>
      <c r="G592" s="1">
        <v>480.86</v>
      </c>
      <c r="H592" s="2">
        <v>0.19</v>
      </c>
      <c r="I592" s="1" t="s">
        <v>16</v>
      </c>
      <c r="J592" s="1">
        <v>2.6</v>
      </c>
      <c r="K592" s="23">
        <v>778.99</v>
      </c>
    </row>
    <row r="593" spans="1:11" x14ac:dyDescent="0.3">
      <c r="A593" s="1">
        <v>10592</v>
      </c>
      <c r="B593" s="3">
        <v>45153</v>
      </c>
      <c r="C593" s="3" t="str">
        <f>TEXT(Table1[[#This Row],[order_date]],"mmmm")</f>
        <v>August</v>
      </c>
      <c r="D593" s="1" t="s">
        <v>13</v>
      </c>
      <c r="E593" s="1" t="s">
        <v>18</v>
      </c>
      <c r="F593" s="1">
        <v>7</v>
      </c>
      <c r="G593" s="1">
        <v>209.6</v>
      </c>
      <c r="H593" s="2">
        <v>0.03</v>
      </c>
      <c r="I593" s="1" t="s">
        <v>16</v>
      </c>
      <c r="J593" s="1">
        <v>1.8</v>
      </c>
      <c r="K593" s="23">
        <v>1423.18</v>
      </c>
    </row>
    <row r="594" spans="1:11" x14ac:dyDescent="0.3">
      <c r="A594" s="1">
        <v>10593</v>
      </c>
      <c r="B594" s="3">
        <v>45154</v>
      </c>
      <c r="C594" s="3" t="str">
        <f>TEXT(Table1[[#This Row],[order_date]],"mmmm")</f>
        <v>August</v>
      </c>
      <c r="D594" s="1" t="s">
        <v>17</v>
      </c>
      <c r="E594" s="1" t="s">
        <v>18</v>
      </c>
      <c r="F594" s="1">
        <v>1</v>
      </c>
      <c r="G594" s="1">
        <v>361.71</v>
      </c>
      <c r="H594" s="2">
        <v>0.14000000000000001</v>
      </c>
      <c r="I594" s="1" t="s">
        <v>14</v>
      </c>
      <c r="J594" s="1">
        <v>2.4</v>
      </c>
      <c r="K594" s="23">
        <v>311.07</v>
      </c>
    </row>
    <row r="595" spans="1:11" x14ac:dyDescent="0.3">
      <c r="A595" s="1">
        <v>10594</v>
      </c>
      <c r="B595" s="3">
        <v>45155</v>
      </c>
      <c r="C595" s="3" t="str">
        <f>TEXT(Table1[[#This Row],[order_date]],"mmmm")</f>
        <v>August</v>
      </c>
      <c r="D595" s="1" t="s">
        <v>17</v>
      </c>
      <c r="E595" s="1" t="s">
        <v>18</v>
      </c>
      <c r="F595" s="1">
        <v>7</v>
      </c>
      <c r="G595" s="1">
        <v>304.55</v>
      </c>
      <c r="H595" s="2">
        <v>0.19</v>
      </c>
      <c r="I595" s="1" t="s">
        <v>14</v>
      </c>
      <c r="J595" s="1">
        <v>1.1000000000000001</v>
      </c>
      <c r="K595" s="23">
        <v>1726.8</v>
      </c>
    </row>
    <row r="596" spans="1:11" x14ac:dyDescent="0.3">
      <c r="A596" s="1">
        <v>10595</v>
      </c>
      <c r="B596" s="3">
        <v>45156</v>
      </c>
      <c r="C596" s="3" t="str">
        <f>TEXT(Table1[[#This Row],[order_date]],"mmmm")</f>
        <v>August</v>
      </c>
      <c r="D596" s="1" t="s">
        <v>13</v>
      </c>
      <c r="E596" s="1" t="s">
        <v>11</v>
      </c>
      <c r="F596" s="1">
        <v>7</v>
      </c>
      <c r="G596" s="1">
        <v>568.26</v>
      </c>
      <c r="H596" s="2">
        <v>0.16</v>
      </c>
      <c r="I596" s="1" t="s">
        <v>14</v>
      </c>
      <c r="J596" s="1">
        <v>1.5</v>
      </c>
      <c r="K596" s="23">
        <v>3341.37</v>
      </c>
    </row>
    <row r="597" spans="1:11" x14ac:dyDescent="0.3">
      <c r="A597" s="1">
        <v>10596</v>
      </c>
      <c r="B597" s="3">
        <v>45157</v>
      </c>
      <c r="C597" s="3" t="str">
        <f>TEXT(Table1[[#This Row],[order_date]],"mmmm")</f>
        <v>August</v>
      </c>
      <c r="D597" s="1" t="s">
        <v>17</v>
      </c>
      <c r="E597" s="1" t="s">
        <v>11</v>
      </c>
      <c r="F597" s="1">
        <v>4</v>
      </c>
      <c r="G597" s="1">
        <v>452.33</v>
      </c>
      <c r="H597" s="2">
        <v>0.32</v>
      </c>
      <c r="I597" s="1" t="s">
        <v>16</v>
      </c>
      <c r="J597" s="1">
        <v>2.8</v>
      </c>
      <c r="K597" s="23">
        <v>1230.3399999999999</v>
      </c>
    </row>
    <row r="598" spans="1:11" x14ac:dyDescent="0.3">
      <c r="A598" s="1">
        <v>10597</v>
      </c>
      <c r="B598" s="3">
        <v>45158</v>
      </c>
      <c r="C598" s="3" t="str">
        <f>TEXT(Table1[[#This Row],[order_date]],"mmmm")</f>
        <v>August</v>
      </c>
      <c r="D598" s="1" t="s">
        <v>13</v>
      </c>
      <c r="E598" s="1" t="s">
        <v>11</v>
      </c>
      <c r="F598" s="1">
        <v>5</v>
      </c>
      <c r="G598" s="1">
        <v>442.37</v>
      </c>
      <c r="H598" s="2">
        <v>0.32</v>
      </c>
      <c r="I598" s="1" t="s">
        <v>14</v>
      </c>
      <c r="J598" s="1">
        <v>4.5999999999999996</v>
      </c>
      <c r="K598" s="23">
        <v>1504.06</v>
      </c>
    </row>
    <row r="599" spans="1:11" x14ac:dyDescent="0.3">
      <c r="A599" s="1">
        <v>10598</v>
      </c>
      <c r="B599" s="3">
        <v>45159</v>
      </c>
      <c r="C599" s="3" t="str">
        <f>TEXT(Table1[[#This Row],[order_date]],"mmmm")</f>
        <v>August</v>
      </c>
      <c r="D599" s="1" t="s">
        <v>10</v>
      </c>
      <c r="E599" s="1" t="s">
        <v>18</v>
      </c>
      <c r="F599" s="1">
        <v>5</v>
      </c>
      <c r="G599" s="1">
        <v>42.12</v>
      </c>
      <c r="H599" s="2">
        <v>0.28999999999999998</v>
      </c>
      <c r="I599" s="1" t="s">
        <v>14</v>
      </c>
      <c r="J599" s="1">
        <v>3</v>
      </c>
      <c r="K599" s="23">
        <v>149.53</v>
      </c>
    </row>
    <row r="600" spans="1:11" x14ac:dyDescent="0.3">
      <c r="A600" s="1">
        <v>10599</v>
      </c>
      <c r="B600" s="3">
        <v>45160</v>
      </c>
      <c r="C600" s="3" t="str">
        <f>TEXT(Table1[[#This Row],[order_date]],"mmmm")</f>
        <v>August</v>
      </c>
      <c r="D600" s="1" t="s">
        <v>17</v>
      </c>
      <c r="E600" s="1" t="s">
        <v>15</v>
      </c>
      <c r="F600" s="1">
        <v>1</v>
      </c>
      <c r="G600" s="1">
        <v>336.56</v>
      </c>
      <c r="H600" s="2">
        <v>0.13</v>
      </c>
      <c r="I600" s="1" t="s">
        <v>16</v>
      </c>
      <c r="J600" s="1">
        <v>2.8</v>
      </c>
      <c r="K600" s="23">
        <v>292.81</v>
      </c>
    </row>
    <row r="601" spans="1:11" x14ac:dyDescent="0.3">
      <c r="A601" s="1">
        <v>10600</v>
      </c>
      <c r="B601" s="3">
        <v>45161</v>
      </c>
      <c r="C601" s="3" t="str">
        <f>TEXT(Table1[[#This Row],[order_date]],"mmmm")</f>
        <v>August</v>
      </c>
      <c r="D601" s="1" t="s">
        <v>20</v>
      </c>
      <c r="E601" s="1" t="s">
        <v>19</v>
      </c>
      <c r="F601" s="1">
        <v>4</v>
      </c>
      <c r="G601" s="1">
        <v>288.19</v>
      </c>
      <c r="H601" s="2">
        <v>0.25</v>
      </c>
      <c r="I601" s="1" t="s">
        <v>16</v>
      </c>
      <c r="J601" s="1">
        <v>4.2</v>
      </c>
      <c r="K601" s="23">
        <v>864.57</v>
      </c>
    </row>
    <row r="602" spans="1:11" x14ac:dyDescent="0.3">
      <c r="A602" s="1">
        <v>10601</v>
      </c>
      <c r="B602" s="3">
        <v>45162</v>
      </c>
      <c r="C602" s="3" t="str">
        <f>TEXT(Table1[[#This Row],[order_date]],"mmmm")</f>
        <v>August</v>
      </c>
      <c r="D602" s="1" t="s">
        <v>13</v>
      </c>
      <c r="E602" s="1" t="s">
        <v>15</v>
      </c>
      <c r="F602" s="1">
        <v>4</v>
      </c>
      <c r="G602" s="1">
        <v>557.79</v>
      </c>
      <c r="H602" s="2">
        <v>0.14000000000000001</v>
      </c>
      <c r="I602" s="1" t="s">
        <v>14</v>
      </c>
      <c r="J602" s="1">
        <v>2.1</v>
      </c>
      <c r="K602" s="23">
        <v>1918.8</v>
      </c>
    </row>
    <row r="603" spans="1:11" x14ac:dyDescent="0.3">
      <c r="A603" s="1">
        <v>10602</v>
      </c>
      <c r="B603" s="3">
        <v>45163</v>
      </c>
      <c r="C603" s="3" t="str">
        <f>TEXT(Table1[[#This Row],[order_date]],"mmmm")</f>
        <v>August</v>
      </c>
      <c r="D603" s="1" t="s">
        <v>20</v>
      </c>
      <c r="E603" s="1" t="s">
        <v>11</v>
      </c>
      <c r="F603" s="1">
        <v>4</v>
      </c>
      <c r="G603" s="1">
        <v>165.55</v>
      </c>
      <c r="H603" s="2">
        <v>0.08</v>
      </c>
      <c r="I603" s="1" t="s">
        <v>16</v>
      </c>
      <c r="J603" s="1">
        <v>1.4</v>
      </c>
      <c r="K603" s="23">
        <v>609.22</v>
      </c>
    </row>
    <row r="604" spans="1:11" x14ac:dyDescent="0.3">
      <c r="A604" s="1">
        <v>10603</v>
      </c>
      <c r="B604" s="3">
        <v>45164</v>
      </c>
      <c r="C604" s="3" t="str">
        <f>TEXT(Table1[[#This Row],[order_date]],"mmmm")</f>
        <v>August</v>
      </c>
      <c r="D604" s="1" t="s">
        <v>17</v>
      </c>
      <c r="E604" s="1" t="s">
        <v>18</v>
      </c>
      <c r="F604" s="1">
        <v>4</v>
      </c>
      <c r="G604" s="1">
        <v>172.85</v>
      </c>
      <c r="H604" s="2">
        <v>0.12</v>
      </c>
      <c r="I604" s="1" t="s">
        <v>12</v>
      </c>
      <c r="J604" s="1">
        <v>1.8</v>
      </c>
      <c r="K604" s="23">
        <v>608.42999999999995</v>
      </c>
    </row>
    <row r="605" spans="1:11" x14ac:dyDescent="0.3">
      <c r="A605" s="1">
        <v>10604</v>
      </c>
      <c r="B605" s="3">
        <v>45165</v>
      </c>
      <c r="C605" s="3" t="str">
        <f>TEXT(Table1[[#This Row],[order_date]],"mmmm")</f>
        <v>August</v>
      </c>
      <c r="D605" s="1" t="s">
        <v>17</v>
      </c>
      <c r="E605" s="1" t="s">
        <v>18</v>
      </c>
      <c r="F605" s="1">
        <v>5</v>
      </c>
      <c r="G605" s="1">
        <v>255.64</v>
      </c>
      <c r="H605" s="2">
        <v>0.02</v>
      </c>
      <c r="I605" s="1" t="s">
        <v>16</v>
      </c>
      <c r="J605" s="1">
        <v>4.2</v>
      </c>
      <c r="K605" s="23">
        <v>1252.6400000000001</v>
      </c>
    </row>
    <row r="606" spans="1:11" x14ac:dyDescent="0.3">
      <c r="A606" s="1">
        <v>10605</v>
      </c>
      <c r="B606" s="3">
        <v>45166</v>
      </c>
      <c r="C606" s="3" t="str">
        <f>TEXT(Table1[[#This Row],[order_date]],"mmmm")</f>
        <v>August</v>
      </c>
      <c r="D606" s="1" t="s">
        <v>17</v>
      </c>
      <c r="E606" s="1" t="s">
        <v>15</v>
      </c>
      <c r="F606" s="1">
        <v>2</v>
      </c>
      <c r="G606" s="1">
        <v>157.37</v>
      </c>
      <c r="H606" s="2">
        <v>0.12</v>
      </c>
      <c r="I606" s="1" t="s">
        <v>12</v>
      </c>
      <c r="J606" s="1">
        <v>3.7</v>
      </c>
      <c r="K606" s="23">
        <v>276.97000000000003</v>
      </c>
    </row>
    <row r="607" spans="1:11" x14ac:dyDescent="0.3">
      <c r="A607" s="1">
        <v>10606</v>
      </c>
      <c r="B607" s="3">
        <v>45167</v>
      </c>
      <c r="C607" s="3" t="str">
        <f>TEXT(Table1[[#This Row],[order_date]],"mmmm")</f>
        <v>August</v>
      </c>
      <c r="D607" s="1" t="s">
        <v>17</v>
      </c>
      <c r="E607" s="1" t="s">
        <v>15</v>
      </c>
      <c r="F607" s="1">
        <v>4</v>
      </c>
      <c r="G607" s="1">
        <v>90.57</v>
      </c>
      <c r="H607" s="2">
        <v>0.16</v>
      </c>
      <c r="I607" s="1" t="s">
        <v>12</v>
      </c>
      <c r="J607" s="1">
        <v>1.4</v>
      </c>
      <c r="K607" s="23">
        <v>304.32</v>
      </c>
    </row>
    <row r="608" spans="1:11" x14ac:dyDescent="0.3">
      <c r="A608" s="1">
        <v>10607</v>
      </c>
      <c r="B608" s="3">
        <v>45168</v>
      </c>
      <c r="C608" s="3" t="str">
        <f>TEXT(Table1[[#This Row],[order_date]],"mmmm")</f>
        <v>August</v>
      </c>
      <c r="D608" s="1" t="s">
        <v>17</v>
      </c>
      <c r="E608" s="1" t="s">
        <v>19</v>
      </c>
      <c r="F608" s="1">
        <v>2</v>
      </c>
      <c r="G608" s="1">
        <v>516.59</v>
      </c>
      <c r="H608" s="2">
        <v>0.33</v>
      </c>
      <c r="I608" s="1" t="s">
        <v>14</v>
      </c>
      <c r="J608" s="1">
        <v>3.7</v>
      </c>
      <c r="K608" s="23">
        <v>692.23</v>
      </c>
    </row>
    <row r="609" spans="1:11" x14ac:dyDescent="0.3">
      <c r="A609" s="1">
        <v>10608</v>
      </c>
      <c r="B609" s="3">
        <v>45169</v>
      </c>
      <c r="C609" s="3" t="str">
        <f>TEXT(Table1[[#This Row],[order_date]],"mmmm")</f>
        <v>August</v>
      </c>
      <c r="D609" s="1" t="s">
        <v>20</v>
      </c>
      <c r="E609" s="1" t="s">
        <v>18</v>
      </c>
      <c r="F609" s="1">
        <v>7</v>
      </c>
      <c r="G609" s="1">
        <v>341.59</v>
      </c>
      <c r="H609" s="2">
        <v>0.11</v>
      </c>
      <c r="I609" s="1" t="s">
        <v>14</v>
      </c>
      <c r="J609" s="1">
        <v>4.7</v>
      </c>
      <c r="K609" s="23">
        <v>2128.11</v>
      </c>
    </row>
    <row r="610" spans="1:11" x14ac:dyDescent="0.3">
      <c r="A610" s="1">
        <v>10609</v>
      </c>
      <c r="B610" s="3">
        <v>45170</v>
      </c>
      <c r="C610" s="3" t="str">
        <f>TEXT(Table1[[#This Row],[order_date]],"mmmm")</f>
        <v>September</v>
      </c>
      <c r="D610" s="1" t="s">
        <v>10</v>
      </c>
      <c r="E610" s="1" t="s">
        <v>15</v>
      </c>
      <c r="F610" s="1">
        <v>7</v>
      </c>
      <c r="G610" s="1">
        <v>518.9</v>
      </c>
      <c r="H610" s="2">
        <v>0.32</v>
      </c>
      <c r="I610" s="1" t="s">
        <v>16</v>
      </c>
      <c r="J610" s="1">
        <v>1.2</v>
      </c>
      <c r="K610" s="23">
        <v>2469.96</v>
      </c>
    </row>
    <row r="611" spans="1:11" x14ac:dyDescent="0.3">
      <c r="A611" s="1">
        <v>10610</v>
      </c>
      <c r="B611" s="3">
        <v>45171</v>
      </c>
      <c r="C611" s="3" t="str">
        <f>TEXT(Table1[[#This Row],[order_date]],"mmmm")</f>
        <v>September</v>
      </c>
      <c r="D611" s="1" t="s">
        <v>20</v>
      </c>
      <c r="E611" s="1" t="s">
        <v>19</v>
      </c>
      <c r="F611" s="1">
        <v>4</v>
      </c>
      <c r="G611" s="1">
        <v>501.21</v>
      </c>
      <c r="H611" s="2">
        <v>0.08</v>
      </c>
      <c r="I611" s="1" t="s">
        <v>16</v>
      </c>
      <c r="J611" s="1">
        <v>3.5</v>
      </c>
      <c r="K611" s="23">
        <v>1844.45</v>
      </c>
    </row>
    <row r="612" spans="1:11" x14ac:dyDescent="0.3">
      <c r="A612" s="1">
        <v>10611</v>
      </c>
      <c r="B612" s="3">
        <v>45172</v>
      </c>
      <c r="C612" s="3" t="str">
        <f>TEXT(Table1[[#This Row],[order_date]],"mmmm")</f>
        <v>September</v>
      </c>
      <c r="D612" s="1" t="s">
        <v>20</v>
      </c>
      <c r="E612" s="1" t="s">
        <v>11</v>
      </c>
      <c r="F612" s="1">
        <v>3</v>
      </c>
      <c r="G612" s="1">
        <v>179.99</v>
      </c>
      <c r="H612" s="2">
        <v>7.0000000000000007E-2</v>
      </c>
      <c r="I612" s="1" t="s">
        <v>14</v>
      </c>
      <c r="J612" s="1">
        <v>2.5</v>
      </c>
      <c r="K612" s="23">
        <v>502.17</v>
      </c>
    </row>
    <row r="613" spans="1:11" x14ac:dyDescent="0.3">
      <c r="A613" s="1">
        <v>10612</v>
      </c>
      <c r="B613" s="3">
        <v>45173</v>
      </c>
      <c r="C613" s="3" t="str">
        <f>TEXT(Table1[[#This Row],[order_date]],"mmmm")</f>
        <v>September</v>
      </c>
      <c r="D613" s="1" t="s">
        <v>17</v>
      </c>
      <c r="E613" s="1" t="s">
        <v>15</v>
      </c>
      <c r="F613" s="1">
        <v>6</v>
      </c>
      <c r="G613" s="1">
        <v>335.43</v>
      </c>
      <c r="H613" s="2">
        <v>0.18</v>
      </c>
      <c r="I613" s="1" t="s">
        <v>14</v>
      </c>
      <c r="J613" s="1">
        <v>3</v>
      </c>
      <c r="K613" s="23">
        <v>1650.32</v>
      </c>
    </row>
    <row r="614" spans="1:11" x14ac:dyDescent="0.3">
      <c r="A614" s="1">
        <v>10613</v>
      </c>
      <c r="B614" s="3">
        <v>45174</v>
      </c>
      <c r="C614" s="3" t="str">
        <f>TEXT(Table1[[#This Row],[order_date]],"mmmm")</f>
        <v>September</v>
      </c>
      <c r="D614" s="1" t="s">
        <v>17</v>
      </c>
      <c r="E614" s="1" t="s">
        <v>11</v>
      </c>
      <c r="F614" s="1">
        <v>3</v>
      </c>
      <c r="G614" s="1">
        <v>63.68</v>
      </c>
      <c r="H614" s="2">
        <v>0.24</v>
      </c>
      <c r="I614" s="1" t="s">
        <v>16</v>
      </c>
      <c r="J614" s="1">
        <v>3.1</v>
      </c>
      <c r="K614" s="23">
        <v>145.19</v>
      </c>
    </row>
    <row r="615" spans="1:11" x14ac:dyDescent="0.3">
      <c r="A615" s="1">
        <v>10614</v>
      </c>
      <c r="B615" s="3">
        <v>45175</v>
      </c>
      <c r="C615" s="3" t="str">
        <f>TEXT(Table1[[#This Row],[order_date]],"mmmm")</f>
        <v>September</v>
      </c>
      <c r="D615" s="1" t="s">
        <v>17</v>
      </c>
      <c r="E615" s="1" t="s">
        <v>19</v>
      </c>
      <c r="F615" s="1">
        <v>7</v>
      </c>
      <c r="G615" s="1">
        <v>550.41999999999996</v>
      </c>
      <c r="H615" s="2">
        <v>0.02</v>
      </c>
      <c r="I615" s="1" t="s">
        <v>14</v>
      </c>
      <c r="J615" s="1">
        <v>4.0999999999999996</v>
      </c>
      <c r="K615" s="23">
        <v>3775.88</v>
      </c>
    </row>
    <row r="616" spans="1:11" x14ac:dyDescent="0.3">
      <c r="A616" s="1">
        <v>10615</v>
      </c>
      <c r="B616" s="3">
        <v>45176</v>
      </c>
      <c r="C616" s="3" t="str">
        <f>TEXT(Table1[[#This Row],[order_date]],"mmmm")</f>
        <v>September</v>
      </c>
      <c r="D616" s="1" t="s">
        <v>17</v>
      </c>
      <c r="E616" s="1" t="s">
        <v>11</v>
      </c>
      <c r="F616" s="1">
        <v>6</v>
      </c>
      <c r="G616" s="1">
        <v>251.49</v>
      </c>
      <c r="H616" s="2">
        <v>0.08</v>
      </c>
      <c r="I616" s="1" t="s">
        <v>12</v>
      </c>
      <c r="J616" s="1">
        <v>3.2</v>
      </c>
      <c r="K616" s="23">
        <v>1388.22</v>
      </c>
    </row>
    <row r="617" spans="1:11" x14ac:dyDescent="0.3">
      <c r="A617" s="1">
        <v>10616</v>
      </c>
      <c r="B617" s="3">
        <v>45177</v>
      </c>
      <c r="C617" s="3" t="str">
        <f>TEXT(Table1[[#This Row],[order_date]],"mmmm")</f>
        <v>September</v>
      </c>
      <c r="D617" s="1" t="s">
        <v>13</v>
      </c>
      <c r="E617" s="1" t="s">
        <v>18</v>
      </c>
      <c r="F617" s="1">
        <v>3</v>
      </c>
      <c r="G617" s="1">
        <v>245.3</v>
      </c>
      <c r="H617" s="2">
        <v>0.16</v>
      </c>
      <c r="I617" s="1" t="s">
        <v>14</v>
      </c>
      <c r="J617" s="1">
        <v>3.4</v>
      </c>
      <c r="K617" s="23">
        <v>618.16</v>
      </c>
    </row>
    <row r="618" spans="1:11" x14ac:dyDescent="0.3">
      <c r="A618" s="1">
        <v>10617</v>
      </c>
      <c r="B618" s="3">
        <v>45178</v>
      </c>
      <c r="C618" s="3" t="str">
        <f>TEXT(Table1[[#This Row],[order_date]],"mmmm")</f>
        <v>September</v>
      </c>
      <c r="D618" s="1" t="s">
        <v>13</v>
      </c>
      <c r="E618" s="1" t="s">
        <v>18</v>
      </c>
      <c r="F618" s="1">
        <v>4</v>
      </c>
      <c r="G618" s="1">
        <v>192.11</v>
      </c>
      <c r="H618" s="2">
        <v>0.12</v>
      </c>
      <c r="I618" s="1" t="s">
        <v>12</v>
      </c>
      <c r="J618" s="1">
        <v>2.2999999999999998</v>
      </c>
      <c r="K618" s="23">
        <v>676.23</v>
      </c>
    </row>
    <row r="619" spans="1:11" x14ac:dyDescent="0.3">
      <c r="A619" s="1">
        <v>10618</v>
      </c>
      <c r="B619" s="3">
        <v>45179</v>
      </c>
      <c r="C619" s="3" t="str">
        <f>TEXT(Table1[[#This Row],[order_date]],"mmmm")</f>
        <v>September</v>
      </c>
      <c r="D619" s="1" t="s">
        <v>13</v>
      </c>
      <c r="E619" s="1" t="s">
        <v>11</v>
      </c>
      <c r="F619" s="1">
        <v>2</v>
      </c>
      <c r="G619" s="1">
        <v>284.49</v>
      </c>
      <c r="H619" s="2">
        <v>0.25</v>
      </c>
      <c r="I619" s="1" t="s">
        <v>14</v>
      </c>
      <c r="J619" s="1">
        <v>1.5</v>
      </c>
      <c r="K619" s="23">
        <v>426.74</v>
      </c>
    </row>
    <row r="620" spans="1:11" x14ac:dyDescent="0.3">
      <c r="A620" s="1">
        <v>10619</v>
      </c>
      <c r="B620" s="3">
        <v>45180</v>
      </c>
      <c r="C620" s="3" t="str">
        <f>TEXT(Table1[[#This Row],[order_date]],"mmmm")</f>
        <v>September</v>
      </c>
      <c r="D620" s="1" t="s">
        <v>13</v>
      </c>
      <c r="E620" s="1" t="s">
        <v>18</v>
      </c>
      <c r="F620" s="1">
        <v>6</v>
      </c>
      <c r="G620" s="1">
        <v>162.28</v>
      </c>
      <c r="H620" s="2">
        <v>0.18</v>
      </c>
      <c r="I620" s="1" t="s">
        <v>14</v>
      </c>
      <c r="J620" s="1">
        <v>3.7</v>
      </c>
      <c r="K620" s="23">
        <v>798.42</v>
      </c>
    </row>
    <row r="621" spans="1:11" x14ac:dyDescent="0.3">
      <c r="A621" s="1">
        <v>10620</v>
      </c>
      <c r="B621" s="3">
        <v>45181</v>
      </c>
      <c r="C621" s="3" t="str">
        <f>TEXT(Table1[[#This Row],[order_date]],"mmmm")</f>
        <v>September</v>
      </c>
      <c r="D621" s="1" t="s">
        <v>20</v>
      </c>
      <c r="E621" s="1" t="s">
        <v>19</v>
      </c>
      <c r="F621" s="1">
        <v>5</v>
      </c>
      <c r="G621" s="1">
        <v>234.29</v>
      </c>
      <c r="H621" s="2">
        <v>0.06</v>
      </c>
      <c r="I621" s="1" t="s">
        <v>14</v>
      </c>
      <c r="J621" s="1">
        <v>1</v>
      </c>
      <c r="K621" s="23">
        <v>1101.1600000000001</v>
      </c>
    </row>
    <row r="622" spans="1:11" x14ac:dyDescent="0.3">
      <c r="A622" s="1">
        <v>10621</v>
      </c>
      <c r="B622" s="3">
        <v>45182</v>
      </c>
      <c r="C622" s="3" t="str">
        <f>TEXT(Table1[[#This Row],[order_date]],"mmmm")</f>
        <v>September</v>
      </c>
      <c r="D622" s="1" t="s">
        <v>20</v>
      </c>
      <c r="E622" s="1" t="s">
        <v>18</v>
      </c>
      <c r="F622" s="1">
        <v>1</v>
      </c>
      <c r="G622" s="1">
        <v>482.97</v>
      </c>
      <c r="H622" s="2">
        <v>0.31</v>
      </c>
      <c r="I622" s="1" t="s">
        <v>12</v>
      </c>
      <c r="J622" s="1">
        <v>2.2999999999999998</v>
      </c>
      <c r="K622" s="23">
        <v>333.25</v>
      </c>
    </row>
    <row r="623" spans="1:11" x14ac:dyDescent="0.3">
      <c r="A623" s="1">
        <v>10622</v>
      </c>
      <c r="B623" s="3">
        <v>45183</v>
      </c>
      <c r="C623" s="3" t="str">
        <f>TEXT(Table1[[#This Row],[order_date]],"mmmm")</f>
        <v>September</v>
      </c>
      <c r="D623" s="1" t="s">
        <v>17</v>
      </c>
      <c r="E623" s="1" t="s">
        <v>11</v>
      </c>
      <c r="F623" s="1">
        <v>6</v>
      </c>
      <c r="G623" s="1">
        <v>503.04</v>
      </c>
      <c r="H623" s="2">
        <v>0.1</v>
      </c>
      <c r="I623" s="1" t="s">
        <v>14</v>
      </c>
      <c r="J623" s="1">
        <v>1.9</v>
      </c>
      <c r="K623" s="23">
        <v>2716.42</v>
      </c>
    </row>
    <row r="624" spans="1:11" x14ac:dyDescent="0.3">
      <c r="A624" s="1">
        <v>10623</v>
      </c>
      <c r="B624" s="3">
        <v>45184</v>
      </c>
      <c r="C624" s="3" t="str">
        <f>TEXT(Table1[[#This Row],[order_date]],"mmmm")</f>
        <v>September</v>
      </c>
      <c r="D624" s="1" t="s">
        <v>10</v>
      </c>
      <c r="E624" s="1" t="s">
        <v>11</v>
      </c>
      <c r="F624" s="1">
        <v>6</v>
      </c>
      <c r="G624" s="1">
        <v>192.95</v>
      </c>
      <c r="H624" s="2">
        <v>0.26</v>
      </c>
      <c r="I624" s="1" t="s">
        <v>16</v>
      </c>
      <c r="J624" s="1">
        <v>2.6</v>
      </c>
      <c r="K624" s="23">
        <v>856.7</v>
      </c>
    </row>
    <row r="625" spans="1:11" x14ac:dyDescent="0.3">
      <c r="A625" s="1">
        <v>10624</v>
      </c>
      <c r="B625" s="3">
        <v>45185</v>
      </c>
      <c r="C625" s="3" t="str">
        <f>TEXT(Table1[[#This Row],[order_date]],"mmmm")</f>
        <v>September</v>
      </c>
      <c r="D625" s="1" t="s">
        <v>10</v>
      </c>
      <c r="E625" s="1" t="s">
        <v>11</v>
      </c>
      <c r="F625" s="1">
        <v>5</v>
      </c>
      <c r="G625" s="1">
        <v>289.37</v>
      </c>
      <c r="H625" s="2">
        <v>0.27</v>
      </c>
      <c r="I625" s="1" t="s">
        <v>12</v>
      </c>
      <c r="J625" s="1">
        <v>2.2000000000000002</v>
      </c>
      <c r="K625" s="23">
        <v>1056.2</v>
      </c>
    </row>
    <row r="626" spans="1:11" x14ac:dyDescent="0.3">
      <c r="A626" s="1">
        <v>10625</v>
      </c>
      <c r="B626" s="3">
        <v>45186</v>
      </c>
      <c r="C626" s="3" t="str">
        <f>TEXT(Table1[[#This Row],[order_date]],"mmmm")</f>
        <v>September</v>
      </c>
      <c r="D626" s="1" t="s">
        <v>17</v>
      </c>
      <c r="E626" s="1" t="s">
        <v>15</v>
      </c>
      <c r="F626" s="1">
        <v>4</v>
      </c>
      <c r="G626" s="1">
        <v>526.17999999999995</v>
      </c>
      <c r="H626" s="2">
        <v>0.34</v>
      </c>
      <c r="I626" s="1" t="s">
        <v>16</v>
      </c>
      <c r="J626" s="1">
        <v>3.8</v>
      </c>
      <c r="K626" s="23">
        <v>1389.12</v>
      </c>
    </row>
    <row r="627" spans="1:11" x14ac:dyDescent="0.3">
      <c r="A627" s="1">
        <v>10626</v>
      </c>
      <c r="B627" s="3">
        <v>45187</v>
      </c>
      <c r="C627" s="3" t="str">
        <f>TEXT(Table1[[#This Row],[order_date]],"mmmm")</f>
        <v>September</v>
      </c>
      <c r="D627" s="1" t="s">
        <v>13</v>
      </c>
      <c r="E627" s="1" t="s">
        <v>11</v>
      </c>
      <c r="F627" s="1">
        <v>3</v>
      </c>
      <c r="G627" s="1">
        <v>45.81</v>
      </c>
      <c r="H627" s="2">
        <v>0.17</v>
      </c>
      <c r="I627" s="1" t="s">
        <v>14</v>
      </c>
      <c r="J627" s="1">
        <v>2</v>
      </c>
      <c r="K627" s="23">
        <v>114.07</v>
      </c>
    </row>
    <row r="628" spans="1:11" x14ac:dyDescent="0.3">
      <c r="A628" s="1">
        <v>10627</v>
      </c>
      <c r="B628" s="3">
        <v>45188</v>
      </c>
      <c r="C628" s="3" t="str">
        <f>TEXT(Table1[[#This Row],[order_date]],"mmmm")</f>
        <v>September</v>
      </c>
      <c r="D628" s="1" t="s">
        <v>13</v>
      </c>
      <c r="E628" s="1" t="s">
        <v>19</v>
      </c>
      <c r="F628" s="1">
        <v>3</v>
      </c>
      <c r="G628" s="1">
        <v>535.15</v>
      </c>
      <c r="H628" s="2">
        <v>0.22</v>
      </c>
      <c r="I628" s="1" t="s">
        <v>12</v>
      </c>
      <c r="J628" s="1">
        <v>3.2</v>
      </c>
      <c r="K628" s="23">
        <v>1252.25</v>
      </c>
    </row>
    <row r="629" spans="1:11" x14ac:dyDescent="0.3">
      <c r="A629" s="1">
        <v>10628</v>
      </c>
      <c r="B629" s="3">
        <v>45189</v>
      </c>
      <c r="C629" s="3" t="str">
        <f>TEXT(Table1[[#This Row],[order_date]],"mmmm")</f>
        <v>September</v>
      </c>
      <c r="D629" s="1" t="s">
        <v>10</v>
      </c>
      <c r="E629" s="1" t="s">
        <v>18</v>
      </c>
      <c r="F629" s="1">
        <v>7</v>
      </c>
      <c r="G629" s="1">
        <v>143.22</v>
      </c>
      <c r="H629" s="2">
        <v>0.12</v>
      </c>
      <c r="I629" s="1" t="s">
        <v>12</v>
      </c>
      <c r="J629" s="1">
        <v>2.8</v>
      </c>
      <c r="K629" s="23">
        <v>882.24</v>
      </c>
    </row>
    <row r="630" spans="1:11" x14ac:dyDescent="0.3">
      <c r="A630" s="1">
        <v>10629</v>
      </c>
      <c r="B630" s="3">
        <v>45190</v>
      </c>
      <c r="C630" s="3" t="str">
        <f>TEXT(Table1[[#This Row],[order_date]],"mmmm")</f>
        <v>September</v>
      </c>
      <c r="D630" s="1" t="s">
        <v>10</v>
      </c>
      <c r="E630" s="1" t="s">
        <v>18</v>
      </c>
      <c r="F630" s="1">
        <v>2</v>
      </c>
      <c r="G630" s="1">
        <v>411.95</v>
      </c>
      <c r="H630" s="2">
        <v>0.24</v>
      </c>
      <c r="I630" s="1" t="s">
        <v>14</v>
      </c>
      <c r="J630" s="1">
        <v>4.2</v>
      </c>
      <c r="K630" s="23">
        <v>626.16</v>
      </c>
    </row>
    <row r="631" spans="1:11" x14ac:dyDescent="0.3">
      <c r="A631" s="1">
        <v>10630</v>
      </c>
      <c r="B631" s="3">
        <v>45191</v>
      </c>
      <c r="C631" s="3" t="str">
        <f>TEXT(Table1[[#This Row],[order_date]],"mmmm")</f>
        <v>September</v>
      </c>
      <c r="D631" s="1" t="s">
        <v>17</v>
      </c>
      <c r="E631" s="1" t="s">
        <v>15</v>
      </c>
      <c r="F631" s="1">
        <v>4</v>
      </c>
      <c r="G631" s="1">
        <v>355.79</v>
      </c>
      <c r="H631" s="2">
        <v>0.16</v>
      </c>
      <c r="I631" s="1" t="s">
        <v>16</v>
      </c>
      <c r="J631" s="1">
        <v>2.7</v>
      </c>
      <c r="K631" s="23">
        <v>1195.45</v>
      </c>
    </row>
    <row r="632" spans="1:11" x14ac:dyDescent="0.3">
      <c r="A632" s="1">
        <v>10631</v>
      </c>
      <c r="B632" s="3">
        <v>45192</v>
      </c>
      <c r="C632" s="3" t="str">
        <f>TEXT(Table1[[#This Row],[order_date]],"mmmm")</f>
        <v>September</v>
      </c>
      <c r="D632" s="1" t="s">
        <v>13</v>
      </c>
      <c r="E632" s="1" t="s">
        <v>15</v>
      </c>
      <c r="F632" s="1">
        <v>5</v>
      </c>
      <c r="G632" s="1">
        <v>338.47</v>
      </c>
      <c r="H632" s="2">
        <v>0.15</v>
      </c>
      <c r="I632" s="1" t="s">
        <v>12</v>
      </c>
      <c r="J632" s="1">
        <v>4.5</v>
      </c>
      <c r="K632" s="23">
        <v>1438.5</v>
      </c>
    </row>
    <row r="633" spans="1:11" x14ac:dyDescent="0.3">
      <c r="A633" s="1">
        <v>10632</v>
      </c>
      <c r="B633" s="3">
        <v>45193</v>
      </c>
      <c r="C633" s="3" t="str">
        <f>TEXT(Table1[[#This Row],[order_date]],"mmmm")</f>
        <v>September</v>
      </c>
      <c r="D633" s="1" t="s">
        <v>13</v>
      </c>
      <c r="E633" s="1" t="s">
        <v>19</v>
      </c>
      <c r="F633" s="1">
        <v>4</v>
      </c>
      <c r="G633" s="1">
        <v>517.73</v>
      </c>
      <c r="H633" s="2">
        <v>0.3</v>
      </c>
      <c r="I633" s="1" t="s">
        <v>12</v>
      </c>
      <c r="J633" s="1">
        <v>1</v>
      </c>
      <c r="K633" s="23">
        <v>1449.64</v>
      </c>
    </row>
    <row r="634" spans="1:11" x14ac:dyDescent="0.3">
      <c r="A634" s="1">
        <v>10633</v>
      </c>
      <c r="B634" s="3">
        <v>45194</v>
      </c>
      <c r="C634" s="3" t="str">
        <f>TEXT(Table1[[#This Row],[order_date]],"mmmm")</f>
        <v>September</v>
      </c>
      <c r="D634" s="1" t="s">
        <v>13</v>
      </c>
      <c r="E634" s="1" t="s">
        <v>11</v>
      </c>
      <c r="F634" s="1">
        <v>4</v>
      </c>
      <c r="G634" s="1">
        <v>74.42</v>
      </c>
      <c r="H634" s="2">
        <v>0.02</v>
      </c>
      <c r="I634" s="1" t="s">
        <v>14</v>
      </c>
      <c r="J634" s="1">
        <v>3.4</v>
      </c>
      <c r="K634" s="23">
        <v>291.73</v>
      </c>
    </row>
    <row r="635" spans="1:11" x14ac:dyDescent="0.3">
      <c r="A635" s="1">
        <v>10634</v>
      </c>
      <c r="B635" s="3">
        <v>45195</v>
      </c>
      <c r="C635" s="3" t="str">
        <f>TEXT(Table1[[#This Row],[order_date]],"mmmm")</f>
        <v>September</v>
      </c>
      <c r="D635" s="1" t="s">
        <v>17</v>
      </c>
      <c r="E635" s="1" t="s">
        <v>15</v>
      </c>
      <c r="F635" s="1">
        <v>3</v>
      </c>
      <c r="G635" s="1">
        <v>218.01</v>
      </c>
      <c r="H635" s="2">
        <v>0.31</v>
      </c>
      <c r="I635" s="1" t="s">
        <v>12</v>
      </c>
      <c r="J635" s="1">
        <v>1</v>
      </c>
      <c r="K635" s="23">
        <v>451.28</v>
      </c>
    </row>
    <row r="636" spans="1:11" x14ac:dyDescent="0.3">
      <c r="A636" s="1">
        <v>10635</v>
      </c>
      <c r="B636" s="3">
        <v>45196</v>
      </c>
      <c r="C636" s="3" t="str">
        <f>TEXT(Table1[[#This Row],[order_date]],"mmmm")</f>
        <v>September</v>
      </c>
      <c r="D636" s="1" t="s">
        <v>10</v>
      </c>
      <c r="E636" s="1" t="s">
        <v>18</v>
      </c>
      <c r="F636" s="1">
        <v>5</v>
      </c>
      <c r="G636" s="1">
        <v>329.88</v>
      </c>
      <c r="H636" s="2">
        <v>0.3</v>
      </c>
      <c r="I636" s="1" t="s">
        <v>14</v>
      </c>
      <c r="J636" s="1">
        <v>3.9</v>
      </c>
      <c r="K636" s="23">
        <v>1154.58</v>
      </c>
    </row>
    <row r="637" spans="1:11" x14ac:dyDescent="0.3">
      <c r="A637" s="1">
        <v>10636</v>
      </c>
      <c r="B637" s="3">
        <v>45197</v>
      </c>
      <c r="C637" s="3" t="str">
        <f>TEXT(Table1[[#This Row],[order_date]],"mmmm")</f>
        <v>September</v>
      </c>
      <c r="D637" s="1" t="s">
        <v>20</v>
      </c>
      <c r="E637" s="1" t="s">
        <v>15</v>
      </c>
      <c r="F637" s="1">
        <v>1</v>
      </c>
      <c r="G637" s="1">
        <v>489.6</v>
      </c>
      <c r="H637" s="2">
        <v>0.18</v>
      </c>
      <c r="I637" s="1" t="s">
        <v>14</v>
      </c>
      <c r="J637" s="1">
        <v>1.9</v>
      </c>
      <c r="K637" s="23">
        <v>401.47</v>
      </c>
    </row>
    <row r="638" spans="1:11" x14ac:dyDescent="0.3">
      <c r="A638" s="1">
        <v>10637</v>
      </c>
      <c r="B638" s="3">
        <v>45198</v>
      </c>
      <c r="C638" s="3" t="str">
        <f>TEXT(Table1[[#This Row],[order_date]],"mmmm")</f>
        <v>September</v>
      </c>
      <c r="D638" s="1" t="s">
        <v>20</v>
      </c>
      <c r="E638" s="1" t="s">
        <v>15</v>
      </c>
      <c r="F638" s="1">
        <v>6</v>
      </c>
      <c r="G638" s="1">
        <v>141.62</v>
      </c>
      <c r="H638" s="2">
        <v>0.17</v>
      </c>
      <c r="I638" s="1" t="s">
        <v>14</v>
      </c>
      <c r="J638" s="1">
        <v>2.5</v>
      </c>
      <c r="K638" s="23">
        <v>705.27</v>
      </c>
    </row>
    <row r="639" spans="1:11" x14ac:dyDescent="0.3">
      <c r="A639" s="1">
        <v>10638</v>
      </c>
      <c r="B639" s="3">
        <v>45199</v>
      </c>
      <c r="C639" s="3" t="str">
        <f>TEXT(Table1[[#This Row],[order_date]],"mmmm")</f>
        <v>September</v>
      </c>
      <c r="D639" s="1" t="s">
        <v>10</v>
      </c>
      <c r="E639" s="1" t="s">
        <v>11</v>
      </c>
      <c r="F639" s="1">
        <v>3</v>
      </c>
      <c r="G639" s="1">
        <v>484.71</v>
      </c>
      <c r="H639" s="2">
        <v>0.13</v>
      </c>
      <c r="I639" s="1" t="s">
        <v>14</v>
      </c>
      <c r="J639" s="1">
        <v>2.5</v>
      </c>
      <c r="K639" s="23">
        <v>1265.0899999999999</v>
      </c>
    </row>
    <row r="640" spans="1:11" x14ac:dyDescent="0.3">
      <c r="A640" s="1">
        <v>10639</v>
      </c>
      <c r="B640" s="3">
        <v>45200</v>
      </c>
      <c r="C640" s="3" t="str">
        <f>TEXT(Table1[[#This Row],[order_date]],"mmmm")</f>
        <v>October</v>
      </c>
      <c r="D640" s="1" t="s">
        <v>20</v>
      </c>
      <c r="E640" s="1" t="s">
        <v>15</v>
      </c>
      <c r="F640" s="1">
        <v>5</v>
      </c>
      <c r="G640" s="1">
        <v>248.79</v>
      </c>
      <c r="H640" s="2">
        <v>0.35</v>
      </c>
      <c r="I640" s="1" t="s">
        <v>16</v>
      </c>
      <c r="J640" s="1">
        <v>4.4000000000000004</v>
      </c>
      <c r="K640" s="23">
        <v>808.57</v>
      </c>
    </row>
    <row r="641" spans="1:11" x14ac:dyDescent="0.3">
      <c r="A641" s="1">
        <v>10640</v>
      </c>
      <c r="B641" s="3">
        <v>45201</v>
      </c>
      <c r="C641" s="3" t="str">
        <f>TEXT(Table1[[#This Row],[order_date]],"mmmm")</f>
        <v>October</v>
      </c>
      <c r="D641" s="1" t="s">
        <v>13</v>
      </c>
      <c r="E641" s="1" t="s">
        <v>19</v>
      </c>
      <c r="F641" s="1">
        <v>2</v>
      </c>
      <c r="G641" s="1">
        <v>125.51</v>
      </c>
      <c r="H641" s="2">
        <v>0.04</v>
      </c>
      <c r="I641" s="1" t="s">
        <v>16</v>
      </c>
      <c r="J641" s="1">
        <v>1.4</v>
      </c>
      <c r="K641" s="23">
        <v>240.98</v>
      </c>
    </row>
    <row r="642" spans="1:11" x14ac:dyDescent="0.3">
      <c r="A642" s="1">
        <v>10641</v>
      </c>
      <c r="B642" s="3">
        <v>45202</v>
      </c>
      <c r="C642" s="3" t="str">
        <f>TEXT(Table1[[#This Row],[order_date]],"mmmm")</f>
        <v>October</v>
      </c>
      <c r="D642" s="1" t="s">
        <v>13</v>
      </c>
      <c r="E642" s="1" t="s">
        <v>18</v>
      </c>
      <c r="F642" s="1">
        <v>6</v>
      </c>
      <c r="G642" s="1">
        <v>459.01</v>
      </c>
      <c r="H642" s="2">
        <v>0.21</v>
      </c>
      <c r="I642" s="1" t="s">
        <v>14</v>
      </c>
      <c r="J642" s="1">
        <v>3.7</v>
      </c>
      <c r="K642" s="23">
        <v>2175.71</v>
      </c>
    </row>
    <row r="643" spans="1:11" x14ac:dyDescent="0.3">
      <c r="A643" s="1">
        <v>10642</v>
      </c>
      <c r="B643" s="3">
        <v>45203</v>
      </c>
      <c r="C643" s="3" t="str">
        <f>TEXT(Table1[[#This Row],[order_date]],"mmmm")</f>
        <v>October</v>
      </c>
      <c r="D643" s="1" t="s">
        <v>17</v>
      </c>
      <c r="E643" s="1" t="s">
        <v>11</v>
      </c>
      <c r="F643" s="1">
        <v>6</v>
      </c>
      <c r="G643" s="1">
        <v>68.180000000000007</v>
      </c>
      <c r="H643" s="2">
        <v>0.24</v>
      </c>
      <c r="I643" s="1" t="s">
        <v>14</v>
      </c>
      <c r="J643" s="1">
        <v>4.9000000000000004</v>
      </c>
      <c r="K643" s="23">
        <v>310.89999999999998</v>
      </c>
    </row>
    <row r="644" spans="1:11" x14ac:dyDescent="0.3">
      <c r="A644" s="1">
        <v>10643</v>
      </c>
      <c r="B644" s="3">
        <v>45204</v>
      </c>
      <c r="C644" s="3" t="str">
        <f>TEXT(Table1[[#This Row],[order_date]],"mmmm")</f>
        <v>October</v>
      </c>
      <c r="D644" s="1" t="s">
        <v>20</v>
      </c>
      <c r="E644" s="1" t="s">
        <v>18</v>
      </c>
      <c r="F644" s="1">
        <v>3</v>
      </c>
      <c r="G644" s="1">
        <v>316.14</v>
      </c>
      <c r="H644" s="2">
        <v>0.33</v>
      </c>
      <c r="I644" s="1" t="s">
        <v>14</v>
      </c>
      <c r="J644" s="1">
        <v>1.1000000000000001</v>
      </c>
      <c r="K644" s="23">
        <v>635.44000000000005</v>
      </c>
    </row>
    <row r="645" spans="1:11" x14ac:dyDescent="0.3">
      <c r="A645" s="1">
        <v>10644</v>
      </c>
      <c r="B645" s="3">
        <v>45205</v>
      </c>
      <c r="C645" s="3" t="str">
        <f>TEXT(Table1[[#This Row],[order_date]],"mmmm")</f>
        <v>October</v>
      </c>
      <c r="D645" s="1" t="s">
        <v>17</v>
      </c>
      <c r="E645" s="1" t="s">
        <v>19</v>
      </c>
      <c r="F645" s="1">
        <v>7</v>
      </c>
      <c r="G645" s="1">
        <v>52.37</v>
      </c>
      <c r="H645" s="2">
        <v>0.27</v>
      </c>
      <c r="I645" s="1" t="s">
        <v>12</v>
      </c>
      <c r="J645" s="1">
        <v>4.9000000000000004</v>
      </c>
      <c r="K645" s="23">
        <v>267.61</v>
      </c>
    </row>
    <row r="646" spans="1:11" x14ac:dyDescent="0.3">
      <c r="A646" s="1">
        <v>10645</v>
      </c>
      <c r="B646" s="3">
        <v>45206</v>
      </c>
      <c r="C646" s="3" t="str">
        <f>TEXT(Table1[[#This Row],[order_date]],"mmmm")</f>
        <v>October</v>
      </c>
      <c r="D646" s="1" t="s">
        <v>20</v>
      </c>
      <c r="E646" s="1" t="s">
        <v>19</v>
      </c>
      <c r="F646" s="1">
        <v>2</v>
      </c>
      <c r="G646" s="1">
        <v>223.5</v>
      </c>
      <c r="H646" s="2">
        <v>0.23</v>
      </c>
      <c r="I646" s="1" t="s">
        <v>12</v>
      </c>
      <c r="J646" s="1">
        <v>1.1000000000000001</v>
      </c>
      <c r="K646" s="23">
        <v>344.19</v>
      </c>
    </row>
    <row r="647" spans="1:11" x14ac:dyDescent="0.3">
      <c r="A647" s="1">
        <v>10646</v>
      </c>
      <c r="B647" s="3">
        <v>45207</v>
      </c>
      <c r="C647" s="3" t="str">
        <f>TEXT(Table1[[#This Row],[order_date]],"mmmm")</f>
        <v>October</v>
      </c>
      <c r="D647" s="1" t="s">
        <v>17</v>
      </c>
      <c r="E647" s="1" t="s">
        <v>15</v>
      </c>
      <c r="F647" s="1">
        <v>3</v>
      </c>
      <c r="G647" s="1">
        <v>366.63</v>
      </c>
      <c r="H647" s="2">
        <v>0.04</v>
      </c>
      <c r="I647" s="1" t="s">
        <v>14</v>
      </c>
      <c r="J647" s="1">
        <v>4.4000000000000004</v>
      </c>
      <c r="K647" s="23">
        <v>1055.8900000000001</v>
      </c>
    </row>
    <row r="648" spans="1:11" x14ac:dyDescent="0.3">
      <c r="A648" s="1">
        <v>10647</v>
      </c>
      <c r="B648" s="3">
        <v>45208</v>
      </c>
      <c r="C648" s="3" t="str">
        <f>TEXT(Table1[[#This Row],[order_date]],"mmmm")</f>
        <v>October</v>
      </c>
      <c r="D648" s="1" t="s">
        <v>17</v>
      </c>
      <c r="E648" s="1" t="s">
        <v>15</v>
      </c>
      <c r="F648" s="1">
        <v>4</v>
      </c>
      <c r="G648" s="1">
        <v>340.33</v>
      </c>
      <c r="H648" s="2">
        <v>0.13</v>
      </c>
      <c r="I648" s="1" t="s">
        <v>12</v>
      </c>
      <c r="J648" s="1">
        <v>4.8</v>
      </c>
      <c r="K648" s="23">
        <v>1184.3499999999999</v>
      </c>
    </row>
    <row r="649" spans="1:11" x14ac:dyDescent="0.3">
      <c r="A649" s="1">
        <v>10648</v>
      </c>
      <c r="B649" s="3">
        <v>45209</v>
      </c>
      <c r="C649" s="3" t="str">
        <f>TEXT(Table1[[#This Row],[order_date]],"mmmm")</f>
        <v>October</v>
      </c>
      <c r="D649" s="1" t="s">
        <v>17</v>
      </c>
      <c r="E649" s="1" t="s">
        <v>15</v>
      </c>
      <c r="F649" s="1">
        <v>7</v>
      </c>
      <c r="G649" s="1">
        <v>251.72</v>
      </c>
      <c r="H649" s="2">
        <v>0.05</v>
      </c>
      <c r="I649" s="1" t="s">
        <v>14</v>
      </c>
      <c r="J649" s="1">
        <v>5</v>
      </c>
      <c r="K649" s="23">
        <v>1673.94</v>
      </c>
    </row>
    <row r="650" spans="1:11" x14ac:dyDescent="0.3">
      <c r="A650" s="1">
        <v>10649</v>
      </c>
      <c r="B650" s="3">
        <v>45210</v>
      </c>
      <c r="C650" s="3" t="str">
        <f>TEXT(Table1[[#This Row],[order_date]],"mmmm")</f>
        <v>October</v>
      </c>
      <c r="D650" s="1" t="s">
        <v>17</v>
      </c>
      <c r="E650" s="1" t="s">
        <v>18</v>
      </c>
      <c r="F650" s="1">
        <v>5</v>
      </c>
      <c r="G650" s="1">
        <v>265.99</v>
      </c>
      <c r="H650" s="2">
        <v>0.31</v>
      </c>
      <c r="I650" s="1" t="s">
        <v>16</v>
      </c>
      <c r="J650" s="1">
        <v>2.8</v>
      </c>
      <c r="K650" s="23">
        <v>917.67</v>
      </c>
    </row>
    <row r="651" spans="1:11" x14ac:dyDescent="0.3">
      <c r="A651" s="1">
        <v>10650</v>
      </c>
      <c r="B651" s="3">
        <v>45211</v>
      </c>
      <c r="C651" s="3" t="str">
        <f>TEXT(Table1[[#This Row],[order_date]],"mmmm")</f>
        <v>October</v>
      </c>
      <c r="D651" s="1" t="s">
        <v>20</v>
      </c>
      <c r="E651" s="1" t="s">
        <v>19</v>
      </c>
      <c r="F651" s="1">
        <v>2</v>
      </c>
      <c r="G651" s="1">
        <v>147.66</v>
      </c>
      <c r="H651" s="2">
        <v>0.26</v>
      </c>
      <c r="I651" s="1" t="s">
        <v>12</v>
      </c>
      <c r="J651" s="1">
        <v>4.5</v>
      </c>
      <c r="K651" s="23">
        <v>218.54</v>
      </c>
    </row>
    <row r="652" spans="1:11" x14ac:dyDescent="0.3">
      <c r="A652" s="1">
        <v>10651</v>
      </c>
      <c r="B652" s="3">
        <v>45212</v>
      </c>
      <c r="C652" s="3" t="str">
        <f>TEXT(Table1[[#This Row],[order_date]],"mmmm")</f>
        <v>October</v>
      </c>
      <c r="D652" s="1" t="s">
        <v>20</v>
      </c>
      <c r="E652" s="1" t="s">
        <v>11</v>
      </c>
      <c r="F652" s="1">
        <v>6</v>
      </c>
      <c r="G652" s="1">
        <v>281.69</v>
      </c>
      <c r="H652" s="2">
        <v>0.27</v>
      </c>
      <c r="I652" s="1" t="s">
        <v>14</v>
      </c>
      <c r="J652" s="1">
        <v>1.5</v>
      </c>
      <c r="K652" s="23">
        <v>1233.8</v>
      </c>
    </row>
    <row r="653" spans="1:11" x14ac:dyDescent="0.3">
      <c r="A653" s="1">
        <v>10652</v>
      </c>
      <c r="B653" s="3">
        <v>45213</v>
      </c>
      <c r="C653" s="3" t="str">
        <f>TEXT(Table1[[#This Row],[order_date]],"mmmm")</f>
        <v>October</v>
      </c>
      <c r="D653" s="1" t="s">
        <v>13</v>
      </c>
      <c r="E653" s="1" t="s">
        <v>15</v>
      </c>
      <c r="F653" s="1">
        <v>3</v>
      </c>
      <c r="G653" s="1">
        <v>572.65</v>
      </c>
      <c r="H653" s="2">
        <v>0.23</v>
      </c>
      <c r="I653" s="1" t="s">
        <v>16</v>
      </c>
      <c r="J653" s="1">
        <v>2.7</v>
      </c>
      <c r="K653" s="23">
        <v>1322.82</v>
      </c>
    </row>
    <row r="654" spans="1:11" x14ac:dyDescent="0.3">
      <c r="A654" s="1">
        <v>10653</v>
      </c>
      <c r="B654" s="3">
        <v>45214</v>
      </c>
      <c r="C654" s="3" t="str">
        <f>TEXT(Table1[[#This Row],[order_date]],"mmmm")</f>
        <v>October</v>
      </c>
      <c r="D654" s="1" t="s">
        <v>17</v>
      </c>
      <c r="E654" s="1" t="s">
        <v>18</v>
      </c>
      <c r="F654" s="1">
        <v>6</v>
      </c>
      <c r="G654" s="1">
        <v>512.51</v>
      </c>
      <c r="H654" s="2">
        <v>0.18</v>
      </c>
      <c r="I654" s="1" t="s">
        <v>14</v>
      </c>
      <c r="J654" s="1">
        <v>2.2000000000000002</v>
      </c>
      <c r="K654" s="23">
        <v>2521.5500000000002</v>
      </c>
    </row>
    <row r="655" spans="1:11" x14ac:dyDescent="0.3">
      <c r="A655" s="1">
        <v>10654</v>
      </c>
      <c r="B655" s="3">
        <v>45215</v>
      </c>
      <c r="C655" s="3" t="str">
        <f>TEXT(Table1[[#This Row],[order_date]],"mmmm")</f>
        <v>October</v>
      </c>
      <c r="D655" s="1" t="s">
        <v>17</v>
      </c>
      <c r="E655" s="1" t="s">
        <v>15</v>
      </c>
      <c r="F655" s="1">
        <v>2</v>
      </c>
      <c r="G655" s="1">
        <v>99.96</v>
      </c>
      <c r="H655" s="2">
        <v>0.05</v>
      </c>
      <c r="I655" s="1" t="s">
        <v>14</v>
      </c>
      <c r="J655" s="1">
        <v>2.6</v>
      </c>
      <c r="K655" s="23">
        <v>189.92</v>
      </c>
    </row>
    <row r="656" spans="1:11" x14ac:dyDescent="0.3">
      <c r="A656" s="1">
        <v>10655</v>
      </c>
      <c r="B656" s="3">
        <v>45216</v>
      </c>
      <c r="C656" s="3" t="str">
        <f>TEXT(Table1[[#This Row],[order_date]],"mmmm")</f>
        <v>October</v>
      </c>
      <c r="D656" s="1" t="s">
        <v>17</v>
      </c>
      <c r="E656" s="1" t="s">
        <v>19</v>
      </c>
      <c r="F656" s="1">
        <v>6</v>
      </c>
      <c r="G656" s="1">
        <v>32.42</v>
      </c>
      <c r="H656" s="2">
        <v>0.12</v>
      </c>
      <c r="I656" s="1" t="s">
        <v>16</v>
      </c>
      <c r="J656" s="1">
        <v>3.8</v>
      </c>
      <c r="K656" s="23">
        <v>171.18</v>
      </c>
    </row>
    <row r="657" spans="1:11" x14ac:dyDescent="0.3">
      <c r="A657" s="1">
        <v>10656</v>
      </c>
      <c r="B657" s="3">
        <v>45217</v>
      </c>
      <c r="C657" s="3" t="str">
        <f>TEXT(Table1[[#This Row],[order_date]],"mmmm")</f>
        <v>October</v>
      </c>
      <c r="D657" s="1" t="s">
        <v>17</v>
      </c>
      <c r="E657" s="1" t="s">
        <v>11</v>
      </c>
      <c r="F657" s="1">
        <v>3</v>
      </c>
      <c r="G657" s="1">
        <v>561.11</v>
      </c>
      <c r="H657" s="2">
        <v>0.05</v>
      </c>
      <c r="I657" s="1" t="s">
        <v>12</v>
      </c>
      <c r="J657" s="1">
        <v>1.3</v>
      </c>
      <c r="K657" s="23">
        <v>1599.16</v>
      </c>
    </row>
    <row r="658" spans="1:11" x14ac:dyDescent="0.3">
      <c r="A658" s="1">
        <v>10657</v>
      </c>
      <c r="B658" s="3">
        <v>45218</v>
      </c>
      <c r="C658" s="3" t="str">
        <f>TEXT(Table1[[#This Row],[order_date]],"mmmm")</f>
        <v>October</v>
      </c>
      <c r="D658" s="1" t="s">
        <v>10</v>
      </c>
      <c r="E658" s="1" t="s">
        <v>19</v>
      </c>
      <c r="F658" s="1">
        <v>7</v>
      </c>
      <c r="G658" s="1">
        <v>323.14999999999998</v>
      </c>
      <c r="H658" s="2">
        <v>0.25</v>
      </c>
      <c r="I658" s="1" t="s">
        <v>16</v>
      </c>
      <c r="J658" s="1">
        <v>5</v>
      </c>
      <c r="K658" s="23">
        <v>1696.54</v>
      </c>
    </row>
    <row r="659" spans="1:11" x14ac:dyDescent="0.3">
      <c r="A659" s="1">
        <v>10658</v>
      </c>
      <c r="B659" s="3">
        <v>45219</v>
      </c>
      <c r="C659" s="3" t="str">
        <f>TEXT(Table1[[#This Row],[order_date]],"mmmm")</f>
        <v>October</v>
      </c>
      <c r="D659" s="1" t="s">
        <v>17</v>
      </c>
      <c r="E659" s="1" t="s">
        <v>18</v>
      </c>
      <c r="F659" s="1">
        <v>3</v>
      </c>
      <c r="G659" s="1">
        <v>329.64</v>
      </c>
      <c r="H659" s="2">
        <v>0.06</v>
      </c>
      <c r="I659" s="1" t="s">
        <v>12</v>
      </c>
      <c r="J659" s="1">
        <v>3.5</v>
      </c>
      <c r="K659" s="23">
        <v>929.58</v>
      </c>
    </row>
    <row r="660" spans="1:11" x14ac:dyDescent="0.3">
      <c r="A660" s="1">
        <v>10659</v>
      </c>
      <c r="B660" s="3">
        <v>45220</v>
      </c>
      <c r="C660" s="3" t="str">
        <f>TEXT(Table1[[#This Row],[order_date]],"mmmm")</f>
        <v>October</v>
      </c>
      <c r="D660" s="1" t="s">
        <v>13</v>
      </c>
      <c r="E660" s="1" t="s">
        <v>15</v>
      </c>
      <c r="F660" s="1">
        <v>1</v>
      </c>
      <c r="G660" s="1">
        <v>471.72</v>
      </c>
      <c r="H660" s="2">
        <v>0.25</v>
      </c>
      <c r="I660" s="1" t="s">
        <v>12</v>
      </c>
      <c r="J660" s="1">
        <v>4.5</v>
      </c>
      <c r="K660" s="23">
        <v>353.79</v>
      </c>
    </row>
    <row r="661" spans="1:11" x14ac:dyDescent="0.3">
      <c r="A661" s="1">
        <v>10660</v>
      </c>
      <c r="B661" s="3">
        <v>45221</v>
      </c>
      <c r="C661" s="3" t="str">
        <f>TEXT(Table1[[#This Row],[order_date]],"mmmm")</f>
        <v>October</v>
      </c>
      <c r="D661" s="1" t="s">
        <v>17</v>
      </c>
      <c r="E661" s="1" t="s">
        <v>19</v>
      </c>
      <c r="F661" s="1">
        <v>6</v>
      </c>
      <c r="G661" s="1">
        <v>199.09</v>
      </c>
      <c r="H661" s="2">
        <v>0.24</v>
      </c>
      <c r="I661" s="1" t="s">
        <v>14</v>
      </c>
      <c r="J661" s="1">
        <v>4.3</v>
      </c>
      <c r="K661" s="23">
        <v>907.85</v>
      </c>
    </row>
    <row r="662" spans="1:11" x14ac:dyDescent="0.3">
      <c r="A662" s="1">
        <v>10661</v>
      </c>
      <c r="B662" s="3">
        <v>45222</v>
      </c>
      <c r="C662" s="3" t="str">
        <f>TEXT(Table1[[#This Row],[order_date]],"mmmm")</f>
        <v>October</v>
      </c>
      <c r="D662" s="1" t="s">
        <v>17</v>
      </c>
      <c r="E662" s="1" t="s">
        <v>18</v>
      </c>
      <c r="F662" s="1">
        <v>1</v>
      </c>
      <c r="G662" s="1">
        <v>296.92</v>
      </c>
      <c r="H662" s="2">
        <v>0.16</v>
      </c>
      <c r="I662" s="1" t="s">
        <v>14</v>
      </c>
      <c r="J662" s="1">
        <v>4.0999999999999996</v>
      </c>
      <c r="K662" s="23">
        <v>249.41</v>
      </c>
    </row>
    <row r="663" spans="1:11" x14ac:dyDescent="0.3">
      <c r="A663" s="1">
        <v>10662</v>
      </c>
      <c r="B663" s="3">
        <v>45223</v>
      </c>
      <c r="C663" s="3" t="str">
        <f>TEXT(Table1[[#This Row],[order_date]],"mmmm")</f>
        <v>October</v>
      </c>
      <c r="D663" s="1" t="s">
        <v>13</v>
      </c>
      <c r="E663" s="1" t="s">
        <v>15</v>
      </c>
      <c r="F663" s="1">
        <v>7</v>
      </c>
      <c r="G663" s="1">
        <v>581.66999999999996</v>
      </c>
      <c r="H663" s="2">
        <v>0.05</v>
      </c>
      <c r="I663" s="1" t="s">
        <v>16</v>
      </c>
      <c r="J663" s="1">
        <v>1.2</v>
      </c>
      <c r="K663" s="23">
        <v>3868.11</v>
      </c>
    </row>
    <row r="664" spans="1:11" x14ac:dyDescent="0.3">
      <c r="A664" s="1">
        <v>10663</v>
      </c>
      <c r="B664" s="3">
        <v>45224</v>
      </c>
      <c r="C664" s="3" t="str">
        <f>TEXT(Table1[[#This Row],[order_date]],"mmmm")</f>
        <v>October</v>
      </c>
      <c r="D664" s="1" t="s">
        <v>13</v>
      </c>
      <c r="E664" s="1" t="s">
        <v>11</v>
      </c>
      <c r="F664" s="1">
        <v>1</v>
      </c>
      <c r="G664" s="1">
        <v>408.21</v>
      </c>
      <c r="H664" s="2">
        <v>0.11</v>
      </c>
      <c r="I664" s="1" t="s">
        <v>16</v>
      </c>
      <c r="J664" s="1">
        <v>3.1</v>
      </c>
      <c r="K664" s="23">
        <v>363.31</v>
      </c>
    </row>
    <row r="665" spans="1:11" x14ac:dyDescent="0.3">
      <c r="A665" s="1">
        <v>10664</v>
      </c>
      <c r="B665" s="3">
        <v>45225</v>
      </c>
      <c r="C665" s="3" t="str">
        <f>TEXT(Table1[[#This Row],[order_date]],"mmmm")</f>
        <v>October</v>
      </c>
      <c r="D665" s="1" t="s">
        <v>17</v>
      </c>
      <c r="E665" s="1" t="s">
        <v>19</v>
      </c>
      <c r="F665" s="1">
        <v>6</v>
      </c>
      <c r="G665" s="1">
        <v>104.94</v>
      </c>
      <c r="H665" s="2">
        <v>0.11</v>
      </c>
      <c r="I665" s="1" t="s">
        <v>14</v>
      </c>
      <c r="J665" s="1">
        <v>2.2999999999999998</v>
      </c>
      <c r="K665" s="23">
        <v>560.38</v>
      </c>
    </row>
    <row r="666" spans="1:11" x14ac:dyDescent="0.3">
      <c r="A666" s="1">
        <v>10665</v>
      </c>
      <c r="B666" s="3">
        <v>45226</v>
      </c>
      <c r="C666" s="3" t="str">
        <f>TEXT(Table1[[#This Row],[order_date]],"mmmm")</f>
        <v>October</v>
      </c>
      <c r="D666" s="1" t="s">
        <v>17</v>
      </c>
      <c r="E666" s="1" t="s">
        <v>15</v>
      </c>
      <c r="F666" s="1">
        <v>2</v>
      </c>
      <c r="G666" s="1">
        <v>92.94</v>
      </c>
      <c r="H666" s="2">
        <v>0.25</v>
      </c>
      <c r="I666" s="1" t="s">
        <v>12</v>
      </c>
      <c r="J666" s="1">
        <v>1.5</v>
      </c>
      <c r="K666" s="23">
        <v>139.41</v>
      </c>
    </row>
    <row r="667" spans="1:11" x14ac:dyDescent="0.3">
      <c r="A667" s="1">
        <v>10666</v>
      </c>
      <c r="B667" s="3">
        <v>45227</v>
      </c>
      <c r="C667" s="3" t="str">
        <f>TEXT(Table1[[#This Row],[order_date]],"mmmm")</f>
        <v>October</v>
      </c>
      <c r="D667" s="1" t="s">
        <v>13</v>
      </c>
      <c r="E667" s="1" t="s">
        <v>15</v>
      </c>
      <c r="F667" s="1">
        <v>4</v>
      </c>
      <c r="G667" s="1">
        <v>134.49</v>
      </c>
      <c r="H667" s="2">
        <v>0.04</v>
      </c>
      <c r="I667" s="1" t="s">
        <v>16</v>
      </c>
      <c r="J667" s="1">
        <v>2.4</v>
      </c>
      <c r="K667" s="23">
        <v>516.44000000000005</v>
      </c>
    </row>
    <row r="668" spans="1:11" x14ac:dyDescent="0.3">
      <c r="A668" s="1">
        <v>10667</v>
      </c>
      <c r="B668" s="3">
        <v>45228</v>
      </c>
      <c r="C668" s="3" t="str">
        <f>TEXT(Table1[[#This Row],[order_date]],"mmmm")</f>
        <v>October</v>
      </c>
      <c r="D668" s="1" t="s">
        <v>17</v>
      </c>
      <c r="E668" s="1" t="s">
        <v>15</v>
      </c>
      <c r="F668" s="1">
        <v>7</v>
      </c>
      <c r="G668" s="1">
        <v>463.53</v>
      </c>
      <c r="H668" s="2">
        <v>0.28999999999999998</v>
      </c>
      <c r="I668" s="1" t="s">
        <v>14</v>
      </c>
      <c r="J668" s="1">
        <v>3.6</v>
      </c>
      <c r="K668" s="23">
        <v>2303.7399999999998</v>
      </c>
    </row>
    <row r="669" spans="1:11" x14ac:dyDescent="0.3">
      <c r="A669" s="1">
        <v>10668</v>
      </c>
      <c r="B669" s="3">
        <v>45229</v>
      </c>
      <c r="C669" s="3" t="str">
        <f>TEXT(Table1[[#This Row],[order_date]],"mmmm")</f>
        <v>October</v>
      </c>
      <c r="D669" s="1" t="s">
        <v>17</v>
      </c>
      <c r="E669" s="1" t="s">
        <v>15</v>
      </c>
      <c r="F669" s="1">
        <v>3</v>
      </c>
      <c r="G669" s="1">
        <v>187.8</v>
      </c>
      <c r="H669" s="2">
        <v>0.27</v>
      </c>
      <c r="I669" s="1" t="s">
        <v>16</v>
      </c>
      <c r="J669" s="1">
        <v>1.9</v>
      </c>
      <c r="K669" s="23">
        <v>411.28</v>
      </c>
    </row>
    <row r="670" spans="1:11" x14ac:dyDescent="0.3">
      <c r="A670" s="1">
        <v>10669</v>
      </c>
      <c r="B670" s="3">
        <v>45230</v>
      </c>
      <c r="C670" s="3" t="str">
        <f>TEXT(Table1[[#This Row],[order_date]],"mmmm")</f>
        <v>October</v>
      </c>
      <c r="D670" s="1" t="s">
        <v>10</v>
      </c>
      <c r="E670" s="1" t="s">
        <v>19</v>
      </c>
      <c r="F670" s="1">
        <v>5</v>
      </c>
      <c r="G670" s="1">
        <v>27.51</v>
      </c>
      <c r="H670" s="2">
        <v>7.0000000000000007E-2</v>
      </c>
      <c r="I670" s="1" t="s">
        <v>14</v>
      </c>
      <c r="J670" s="1">
        <v>2.8</v>
      </c>
      <c r="K670" s="23">
        <v>127.92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AA51-E230-4A3A-987B-C71261D7CB32}">
  <dimension ref="A1:Z35"/>
  <sheetViews>
    <sheetView showGridLines="0" zoomScale="60" workbookViewId="0">
      <selection activeCell="X2" sqref="X2"/>
    </sheetView>
  </sheetViews>
  <sheetFormatPr defaultRowHeight="14.4" x14ac:dyDescent="0.3"/>
  <cols>
    <col min="2" max="2" width="8.88671875" customWidth="1"/>
  </cols>
  <sheetData>
    <row r="1" spans="1:22" ht="33.6" customHeight="1" thickBot="1" x14ac:dyDescent="0.65">
      <c r="A1" s="10"/>
      <c r="B1" s="11"/>
      <c r="C1" s="11"/>
      <c r="D1" s="11"/>
      <c r="E1" s="11"/>
      <c r="F1" s="11"/>
      <c r="G1" s="11"/>
      <c r="H1" s="11"/>
      <c r="I1" s="11"/>
      <c r="J1" s="12" t="s">
        <v>43</v>
      </c>
      <c r="K1" s="11"/>
      <c r="L1" s="11"/>
      <c r="M1" s="11"/>
      <c r="N1" s="11"/>
      <c r="O1" s="11"/>
      <c r="P1" s="11"/>
      <c r="Q1" s="11"/>
      <c r="R1" s="11"/>
      <c r="S1" s="11"/>
      <c r="T1" s="11"/>
      <c r="U1" s="11"/>
      <c r="V1" s="13"/>
    </row>
    <row r="2" spans="1:22" x14ac:dyDescent="0.3">
      <c r="A2" s="14"/>
      <c r="B2" s="15"/>
      <c r="C2" s="15"/>
      <c r="D2" s="15"/>
      <c r="E2" s="15"/>
      <c r="F2" s="15"/>
      <c r="G2" s="15"/>
      <c r="H2" s="15"/>
      <c r="I2" s="15"/>
      <c r="J2" s="15"/>
      <c r="K2" s="15"/>
      <c r="L2" s="15"/>
      <c r="M2" s="15"/>
      <c r="N2" s="15"/>
      <c r="O2" s="15"/>
      <c r="P2" s="15"/>
      <c r="Q2" s="15"/>
      <c r="R2" s="15"/>
      <c r="S2" s="15"/>
      <c r="T2" s="15"/>
      <c r="U2" s="15"/>
      <c r="V2" s="16"/>
    </row>
    <row r="3" spans="1:22" x14ac:dyDescent="0.3">
      <c r="A3" s="17"/>
      <c r="B3" s="18"/>
      <c r="C3" s="18"/>
      <c r="D3" s="18"/>
      <c r="E3" s="18"/>
      <c r="F3" s="18"/>
      <c r="G3" s="18"/>
      <c r="H3" s="18"/>
      <c r="I3" s="18"/>
      <c r="J3" s="18"/>
      <c r="K3" s="18"/>
      <c r="L3" s="18"/>
      <c r="M3" s="18"/>
      <c r="N3" s="18"/>
      <c r="O3" s="18"/>
      <c r="P3" s="18"/>
      <c r="Q3" s="18"/>
      <c r="R3" s="18"/>
      <c r="S3" s="18"/>
      <c r="T3" s="18"/>
      <c r="U3" s="18"/>
      <c r="V3" s="19"/>
    </row>
    <row r="4" spans="1:22" x14ac:dyDescent="0.3">
      <c r="A4" s="17"/>
      <c r="B4" s="18"/>
      <c r="C4" s="18"/>
      <c r="D4" s="18"/>
      <c r="E4" s="18"/>
      <c r="F4" s="18"/>
      <c r="G4" s="18"/>
      <c r="H4" s="18"/>
      <c r="I4" s="18"/>
      <c r="J4" s="18"/>
      <c r="K4" s="18"/>
      <c r="L4" s="18"/>
      <c r="M4" s="18"/>
      <c r="N4" s="18"/>
      <c r="O4" s="18"/>
      <c r="P4" s="18"/>
      <c r="Q4" s="18"/>
      <c r="R4" s="18"/>
      <c r="S4" s="18"/>
      <c r="T4" s="18"/>
      <c r="U4" s="18"/>
      <c r="V4" s="19"/>
    </row>
    <row r="5" spans="1:22" x14ac:dyDescent="0.3">
      <c r="A5" s="17"/>
      <c r="B5" s="18"/>
      <c r="C5" s="18"/>
      <c r="D5" s="18"/>
      <c r="E5" s="18"/>
      <c r="F5" s="18"/>
      <c r="G5" s="18"/>
      <c r="H5" s="18"/>
      <c r="I5" s="18"/>
      <c r="J5" s="18"/>
      <c r="K5" s="18"/>
      <c r="L5" s="18"/>
      <c r="M5" s="18"/>
      <c r="N5" s="18"/>
      <c r="O5" s="18"/>
      <c r="P5" s="18"/>
      <c r="Q5" s="18"/>
      <c r="R5" s="18"/>
      <c r="S5" s="18"/>
      <c r="T5" s="18"/>
      <c r="U5" s="18"/>
      <c r="V5" s="19"/>
    </row>
    <row r="6" spans="1:22" x14ac:dyDescent="0.3">
      <c r="A6" s="17"/>
      <c r="B6" s="18"/>
      <c r="C6" s="18"/>
      <c r="D6" s="18"/>
      <c r="E6" s="18"/>
      <c r="F6" s="18"/>
      <c r="G6" s="18"/>
      <c r="H6" s="18"/>
      <c r="I6" s="18"/>
      <c r="J6" s="18"/>
      <c r="K6" s="18"/>
      <c r="L6" s="18"/>
      <c r="M6" s="18"/>
      <c r="N6" s="18"/>
      <c r="O6" s="18"/>
      <c r="P6" s="18"/>
      <c r="Q6" s="18"/>
      <c r="R6" s="18"/>
      <c r="S6" s="18"/>
      <c r="T6" s="18"/>
      <c r="U6" s="18"/>
      <c r="V6" s="19"/>
    </row>
    <row r="7" spans="1:22" x14ac:dyDescent="0.3">
      <c r="A7" s="17"/>
      <c r="B7" s="18"/>
      <c r="C7" s="18"/>
      <c r="D7" s="18"/>
      <c r="E7" s="18"/>
      <c r="F7" s="18"/>
      <c r="G7" s="18"/>
      <c r="H7" s="18"/>
      <c r="I7" s="18"/>
      <c r="J7" s="18"/>
      <c r="K7" s="18"/>
      <c r="L7" s="18"/>
      <c r="M7" s="18"/>
      <c r="N7" s="18"/>
      <c r="O7" s="18"/>
      <c r="P7" s="18"/>
      <c r="Q7" s="18"/>
      <c r="R7" s="18"/>
      <c r="S7" s="18"/>
      <c r="T7" s="18"/>
      <c r="U7" s="18"/>
      <c r="V7" s="19"/>
    </row>
    <row r="8" spans="1:22" x14ac:dyDescent="0.3">
      <c r="A8" s="17"/>
      <c r="B8" s="18"/>
      <c r="C8" s="18"/>
      <c r="D8" s="18"/>
      <c r="E8" s="18"/>
      <c r="F8" s="18"/>
      <c r="G8" s="18"/>
      <c r="H8" s="18"/>
      <c r="I8" s="18"/>
      <c r="J8" s="18"/>
      <c r="K8" s="18"/>
      <c r="L8" s="18"/>
      <c r="M8" s="18"/>
      <c r="N8" s="18"/>
      <c r="O8" s="18"/>
      <c r="P8" s="18"/>
      <c r="Q8" s="18"/>
      <c r="R8" s="18"/>
      <c r="S8" s="18"/>
      <c r="T8" s="18"/>
      <c r="U8" s="18"/>
      <c r="V8" s="19"/>
    </row>
    <row r="9" spans="1:22" x14ac:dyDescent="0.3">
      <c r="A9" s="17"/>
      <c r="B9" s="18"/>
      <c r="C9" s="18"/>
      <c r="D9" s="18"/>
      <c r="E9" s="18"/>
      <c r="F9" s="18"/>
      <c r="G9" s="18"/>
      <c r="H9" s="18"/>
      <c r="I9" s="18"/>
      <c r="J9" s="18"/>
      <c r="K9" s="18"/>
      <c r="L9" s="18"/>
      <c r="M9" s="18"/>
      <c r="N9" s="18"/>
      <c r="O9" s="18"/>
      <c r="P9" s="18"/>
      <c r="Q9" s="18"/>
      <c r="R9" s="18"/>
      <c r="S9" s="18"/>
      <c r="T9" s="18"/>
      <c r="U9" s="18"/>
      <c r="V9" s="19"/>
    </row>
    <row r="10" spans="1:22" x14ac:dyDescent="0.3">
      <c r="A10" s="17"/>
      <c r="B10" s="18"/>
      <c r="C10" s="18"/>
      <c r="D10" s="18"/>
      <c r="E10" s="18"/>
      <c r="F10" s="18"/>
      <c r="G10" s="18"/>
      <c r="H10" s="18"/>
      <c r="I10" s="18"/>
      <c r="J10" s="18"/>
      <c r="K10" s="18"/>
      <c r="L10" s="18"/>
      <c r="M10" s="18"/>
      <c r="N10" s="18"/>
      <c r="O10" s="18"/>
      <c r="P10" s="18"/>
      <c r="Q10" s="18"/>
      <c r="R10" s="18"/>
      <c r="S10" s="18"/>
      <c r="T10" s="18"/>
      <c r="U10" s="18"/>
      <c r="V10" s="19"/>
    </row>
    <row r="11" spans="1:22" x14ac:dyDescent="0.3">
      <c r="A11" s="17"/>
      <c r="B11" s="18"/>
      <c r="C11" s="18"/>
      <c r="D11" s="18"/>
      <c r="E11" s="18"/>
      <c r="F11" s="18"/>
      <c r="G11" s="18"/>
      <c r="H11" s="18"/>
      <c r="I11" s="18"/>
      <c r="J11" s="18"/>
      <c r="K11" s="18"/>
      <c r="L11" s="18"/>
      <c r="M11" s="18"/>
      <c r="N11" s="18"/>
      <c r="O11" s="18"/>
      <c r="P11" s="18"/>
      <c r="Q11" s="18"/>
      <c r="R11" s="18"/>
      <c r="S11" s="18"/>
      <c r="T11" s="18"/>
      <c r="U11" s="18"/>
      <c r="V11" s="19"/>
    </row>
    <row r="12" spans="1:22" x14ac:dyDescent="0.3">
      <c r="A12" s="17"/>
      <c r="B12" s="18"/>
      <c r="C12" s="18"/>
      <c r="D12" s="18"/>
      <c r="E12" s="18"/>
      <c r="F12" s="18"/>
      <c r="G12" s="18"/>
      <c r="H12" s="18"/>
      <c r="I12" s="18"/>
      <c r="J12" s="18"/>
      <c r="K12" s="18"/>
      <c r="L12" s="18"/>
      <c r="M12" s="18"/>
      <c r="N12" s="18"/>
      <c r="O12" s="18"/>
      <c r="P12" s="18"/>
      <c r="Q12" s="18"/>
      <c r="R12" s="18"/>
      <c r="S12" s="18"/>
      <c r="T12" s="18"/>
      <c r="U12" s="18"/>
      <c r="V12" s="19"/>
    </row>
    <row r="13" spans="1:22" x14ac:dyDescent="0.3">
      <c r="A13" s="17"/>
      <c r="B13" s="18"/>
      <c r="C13" s="18"/>
      <c r="D13" s="18"/>
      <c r="E13" s="18"/>
      <c r="F13" s="18"/>
      <c r="G13" s="18"/>
      <c r="H13" s="18"/>
      <c r="I13" s="18"/>
      <c r="J13" s="18"/>
      <c r="K13" s="18"/>
      <c r="L13" s="18"/>
      <c r="M13" s="18"/>
      <c r="N13" s="18"/>
      <c r="O13" s="18"/>
      <c r="P13" s="18"/>
      <c r="Q13" s="18"/>
      <c r="R13" s="18"/>
      <c r="S13" s="18"/>
      <c r="T13" s="18"/>
      <c r="U13" s="18"/>
      <c r="V13" s="19"/>
    </row>
    <row r="14" spans="1:22" x14ac:dyDescent="0.3">
      <c r="A14" s="17"/>
      <c r="B14" s="18"/>
      <c r="C14" s="18"/>
      <c r="D14" s="18"/>
      <c r="E14" s="18"/>
      <c r="F14" s="18"/>
      <c r="G14" s="18"/>
      <c r="H14" s="18"/>
      <c r="I14" s="18"/>
      <c r="J14" s="18"/>
      <c r="K14" s="18"/>
      <c r="L14" s="18"/>
      <c r="M14" s="18"/>
      <c r="N14" s="18"/>
      <c r="O14" s="18"/>
      <c r="P14" s="18"/>
      <c r="Q14" s="18"/>
      <c r="R14" s="18"/>
      <c r="S14" s="18"/>
      <c r="T14" s="18"/>
      <c r="U14" s="18"/>
      <c r="V14" s="19"/>
    </row>
    <row r="15" spans="1:22" x14ac:dyDescent="0.3">
      <c r="A15" s="17"/>
      <c r="B15" s="18"/>
      <c r="C15" s="18"/>
      <c r="D15" s="18"/>
      <c r="E15" s="18"/>
      <c r="F15" s="18"/>
      <c r="G15" s="18"/>
      <c r="H15" s="18"/>
      <c r="I15" s="18"/>
      <c r="J15" s="18"/>
      <c r="K15" s="18"/>
      <c r="L15" s="18"/>
      <c r="M15" s="18"/>
      <c r="N15" s="18"/>
      <c r="O15" s="18"/>
      <c r="P15" s="18"/>
      <c r="Q15" s="18"/>
      <c r="R15" s="18"/>
      <c r="S15" s="18"/>
      <c r="T15" s="18"/>
      <c r="U15" s="18"/>
      <c r="V15" s="19"/>
    </row>
    <row r="16" spans="1:22" x14ac:dyDescent="0.3">
      <c r="A16" s="17"/>
      <c r="B16" s="18"/>
      <c r="C16" s="18"/>
      <c r="D16" s="18"/>
      <c r="E16" s="18"/>
      <c r="F16" s="18"/>
      <c r="G16" s="18"/>
      <c r="H16" s="18"/>
      <c r="I16" s="18"/>
      <c r="J16" s="18"/>
      <c r="K16" s="18"/>
      <c r="L16" s="18"/>
      <c r="M16" s="18"/>
      <c r="N16" s="18"/>
      <c r="O16" s="18"/>
      <c r="P16" s="18"/>
      <c r="Q16" s="18"/>
      <c r="R16" s="18"/>
      <c r="S16" s="18"/>
      <c r="T16" s="18"/>
      <c r="U16" s="18"/>
      <c r="V16" s="19"/>
    </row>
    <row r="17" spans="1:26" x14ac:dyDescent="0.3">
      <c r="A17" s="17"/>
      <c r="B17" s="18"/>
      <c r="C17" s="18"/>
      <c r="D17" s="18"/>
      <c r="E17" s="18"/>
      <c r="F17" s="18"/>
      <c r="G17" s="18"/>
      <c r="H17" s="18"/>
      <c r="I17" s="18"/>
      <c r="J17" s="18"/>
      <c r="K17" s="18"/>
      <c r="L17" s="18"/>
      <c r="M17" s="18"/>
      <c r="N17" s="18"/>
      <c r="O17" s="18"/>
      <c r="P17" s="18"/>
      <c r="Q17" s="18"/>
      <c r="R17" s="18"/>
      <c r="S17" s="18"/>
      <c r="T17" s="18"/>
      <c r="U17" s="18"/>
      <c r="V17" s="19"/>
    </row>
    <row r="18" spans="1:26" x14ac:dyDescent="0.3">
      <c r="A18" s="17"/>
      <c r="B18" s="18"/>
      <c r="C18" s="18"/>
      <c r="D18" s="18"/>
      <c r="E18" s="18"/>
      <c r="F18" s="18"/>
      <c r="G18" s="18"/>
      <c r="H18" s="18"/>
      <c r="I18" s="18"/>
      <c r="J18" s="18"/>
      <c r="K18" s="18"/>
      <c r="L18" s="18"/>
      <c r="M18" s="18"/>
      <c r="N18" s="18"/>
      <c r="O18" s="18"/>
      <c r="P18" s="18"/>
      <c r="Q18" s="18"/>
      <c r="R18" s="18"/>
      <c r="S18" s="18"/>
      <c r="T18" s="18"/>
      <c r="U18" s="18"/>
      <c r="V18" s="19"/>
    </row>
    <row r="19" spans="1:26" x14ac:dyDescent="0.3">
      <c r="A19" s="17"/>
      <c r="B19" s="18"/>
      <c r="C19" s="18"/>
      <c r="D19" s="18"/>
      <c r="E19" s="18"/>
      <c r="F19" s="18"/>
      <c r="G19" s="18"/>
      <c r="H19" s="18"/>
      <c r="I19" s="18"/>
      <c r="J19" s="18"/>
      <c r="K19" s="18"/>
      <c r="L19" s="18"/>
      <c r="M19" s="18"/>
      <c r="N19" s="18"/>
      <c r="O19" s="18"/>
      <c r="P19" s="18"/>
      <c r="Q19" s="18"/>
      <c r="R19" s="18"/>
      <c r="S19" s="18"/>
      <c r="T19" s="18"/>
      <c r="U19" s="18"/>
      <c r="V19" s="19"/>
    </row>
    <row r="20" spans="1:26" x14ac:dyDescent="0.3">
      <c r="A20" s="17"/>
      <c r="B20" s="18"/>
      <c r="C20" s="18"/>
      <c r="D20" s="18"/>
      <c r="E20" s="18"/>
      <c r="F20" s="18"/>
      <c r="G20" s="18"/>
      <c r="H20" s="18"/>
      <c r="I20" s="18"/>
      <c r="J20" s="18"/>
      <c r="K20" s="18"/>
      <c r="L20" s="18"/>
      <c r="M20" s="18"/>
      <c r="N20" s="18"/>
      <c r="O20" s="18"/>
      <c r="P20" s="18"/>
      <c r="Q20" s="18"/>
      <c r="R20" s="18"/>
      <c r="S20" s="18"/>
      <c r="T20" s="18"/>
      <c r="U20" s="18"/>
      <c r="V20" s="19"/>
    </row>
    <row r="21" spans="1:26" x14ac:dyDescent="0.3">
      <c r="A21" s="17"/>
      <c r="B21" s="18"/>
      <c r="C21" s="18"/>
      <c r="D21" s="18"/>
      <c r="E21" s="18"/>
      <c r="F21" s="18"/>
      <c r="G21" s="18"/>
      <c r="H21" s="18"/>
      <c r="I21" s="18"/>
      <c r="J21" s="18"/>
      <c r="K21" s="18"/>
      <c r="L21" s="18"/>
      <c r="M21" s="18"/>
      <c r="N21" s="18"/>
      <c r="O21" s="18"/>
      <c r="P21" s="18"/>
      <c r="Q21" s="18"/>
      <c r="R21" s="18"/>
      <c r="S21" s="18"/>
      <c r="T21" s="18"/>
      <c r="U21" s="18"/>
      <c r="V21" s="19"/>
    </row>
    <row r="22" spans="1:26" x14ac:dyDescent="0.3">
      <c r="A22" s="17"/>
      <c r="B22" s="18"/>
      <c r="C22" s="18"/>
      <c r="D22" s="18"/>
      <c r="E22" s="18"/>
      <c r="F22" s="18"/>
      <c r="G22" s="18"/>
      <c r="H22" s="18"/>
      <c r="I22" s="18"/>
      <c r="J22" s="18"/>
      <c r="K22" s="18"/>
      <c r="L22" s="18"/>
      <c r="M22" s="18"/>
      <c r="N22" s="18"/>
      <c r="O22" s="18"/>
      <c r="P22" s="18"/>
      <c r="Q22" s="18"/>
      <c r="R22" s="18"/>
      <c r="S22" s="18"/>
      <c r="T22" s="18"/>
      <c r="U22" s="18"/>
      <c r="V22" s="19"/>
      <c r="Z22" s="9"/>
    </row>
    <row r="23" spans="1:26" x14ac:dyDescent="0.3">
      <c r="A23" s="17"/>
      <c r="B23" s="18"/>
      <c r="C23" s="18"/>
      <c r="D23" s="18"/>
      <c r="E23" s="18"/>
      <c r="F23" s="18"/>
      <c r="G23" s="18"/>
      <c r="H23" s="18"/>
      <c r="I23" s="18"/>
      <c r="J23" s="18"/>
      <c r="K23" s="18"/>
      <c r="L23" s="18"/>
      <c r="M23" s="18"/>
      <c r="N23" s="18"/>
      <c r="O23" s="18"/>
      <c r="P23" s="18"/>
      <c r="Q23" s="18"/>
      <c r="R23" s="18"/>
      <c r="S23" s="18"/>
      <c r="T23" s="18"/>
      <c r="U23" s="18"/>
      <c r="V23" s="19"/>
    </row>
    <row r="24" spans="1:26" x14ac:dyDescent="0.3">
      <c r="A24" s="17"/>
      <c r="B24" s="18"/>
      <c r="C24" s="18"/>
      <c r="D24" s="18"/>
      <c r="E24" s="18"/>
      <c r="F24" s="18"/>
      <c r="G24" s="18"/>
      <c r="H24" s="18"/>
      <c r="I24" s="18"/>
      <c r="J24" s="18"/>
      <c r="K24" s="18"/>
      <c r="L24" s="18"/>
      <c r="M24" s="18"/>
      <c r="N24" s="18"/>
      <c r="O24" s="18"/>
      <c r="P24" s="18"/>
      <c r="Q24" s="18"/>
      <c r="R24" s="18"/>
      <c r="S24" s="18"/>
      <c r="T24" s="18"/>
      <c r="U24" s="18"/>
      <c r="V24" s="19"/>
    </row>
    <row r="25" spans="1:26" x14ac:dyDescent="0.3">
      <c r="A25" s="17"/>
      <c r="B25" s="18"/>
      <c r="C25" s="18"/>
      <c r="D25" s="18"/>
      <c r="E25" s="18"/>
      <c r="F25" s="18"/>
      <c r="G25" s="18"/>
      <c r="H25" s="18"/>
      <c r="I25" s="18"/>
      <c r="J25" s="18"/>
      <c r="K25" s="18"/>
      <c r="L25" s="18"/>
      <c r="M25" s="18"/>
      <c r="N25" s="18"/>
      <c r="O25" s="18"/>
      <c r="P25" s="18"/>
      <c r="Q25" s="18"/>
      <c r="R25" s="18"/>
      <c r="S25" s="18"/>
      <c r="T25" s="18"/>
      <c r="U25" s="18"/>
      <c r="V25" s="19"/>
    </row>
    <row r="26" spans="1:26" x14ac:dyDescent="0.3">
      <c r="A26" s="17"/>
      <c r="B26" s="18"/>
      <c r="C26" s="18"/>
      <c r="D26" s="18"/>
      <c r="E26" s="18"/>
      <c r="F26" s="18"/>
      <c r="G26" s="18"/>
      <c r="H26" s="18"/>
      <c r="I26" s="18"/>
      <c r="J26" s="18"/>
      <c r="K26" s="18"/>
      <c r="L26" s="18"/>
      <c r="M26" s="18"/>
      <c r="N26" s="18"/>
      <c r="O26" s="18"/>
      <c r="P26" s="18"/>
      <c r="Q26" s="18"/>
      <c r="R26" s="18"/>
      <c r="S26" s="18"/>
      <c r="T26" s="18"/>
      <c r="U26" s="18"/>
      <c r="V26" s="19"/>
    </row>
    <row r="27" spans="1:26" x14ac:dyDescent="0.3">
      <c r="A27" s="17"/>
      <c r="B27" s="18"/>
      <c r="C27" s="18"/>
      <c r="D27" s="18"/>
      <c r="E27" s="18"/>
      <c r="F27" s="18"/>
      <c r="G27" s="18"/>
      <c r="H27" s="18"/>
      <c r="I27" s="18"/>
      <c r="J27" s="18"/>
      <c r="K27" s="18"/>
      <c r="L27" s="18"/>
      <c r="M27" s="18"/>
      <c r="N27" s="18"/>
      <c r="O27" s="18"/>
      <c r="P27" s="18"/>
      <c r="Q27" s="18"/>
      <c r="R27" s="18"/>
      <c r="S27" s="18"/>
      <c r="T27" s="18"/>
      <c r="U27" s="18"/>
      <c r="V27" s="19"/>
    </row>
    <row r="28" spans="1:26" x14ac:dyDescent="0.3">
      <c r="A28" s="17"/>
      <c r="B28" s="18"/>
      <c r="C28" s="18"/>
      <c r="D28" s="18"/>
      <c r="E28" s="18"/>
      <c r="F28" s="18"/>
      <c r="G28" s="18"/>
      <c r="H28" s="18"/>
      <c r="I28" s="18"/>
      <c r="J28" s="18"/>
      <c r="K28" s="18"/>
      <c r="L28" s="18"/>
      <c r="M28" s="18"/>
      <c r="N28" s="18"/>
      <c r="O28" s="18"/>
      <c r="P28" s="18"/>
      <c r="Q28" s="18"/>
      <c r="R28" s="18"/>
      <c r="S28" s="18"/>
      <c r="T28" s="18"/>
      <c r="U28" s="18"/>
      <c r="V28" s="19"/>
    </row>
    <row r="29" spans="1:26" x14ac:dyDescent="0.3">
      <c r="A29" s="17"/>
      <c r="B29" s="18"/>
      <c r="C29" s="18"/>
      <c r="D29" s="18"/>
      <c r="E29" s="18"/>
      <c r="F29" s="18"/>
      <c r="G29" s="18"/>
      <c r="H29" s="18"/>
      <c r="I29" s="18"/>
      <c r="J29" s="18"/>
      <c r="K29" s="18"/>
      <c r="L29" s="18"/>
      <c r="M29" s="18"/>
      <c r="N29" s="18"/>
      <c r="O29" s="18"/>
      <c r="P29" s="18"/>
      <c r="Q29" s="18"/>
      <c r="R29" s="18"/>
      <c r="S29" s="18"/>
      <c r="T29" s="18"/>
      <c r="U29" s="18"/>
      <c r="V29" s="19"/>
    </row>
    <row r="30" spans="1:26" x14ac:dyDescent="0.3">
      <c r="A30" s="17"/>
      <c r="B30" s="18"/>
      <c r="C30" s="18"/>
      <c r="D30" s="18"/>
      <c r="E30" s="18"/>
      <c r="F30" s="18"/>
      <c r="G30" s="18"/>
      <c r="H30" s="18"/>
      <c r="I30" s="18"/>
      <c r="J30" s="18"/>
      <c r="K30" s="18"/>
      <c r="L30" s="18"/>
      <c r="M30" s="18"/>
      <c r="N30" s="18"/>
      <c r="O30" s="18"/>
      <c r="P30" s="18"/>
      <c r="Q30" s="18"/>
      <c r="R30" s="18"/>
      <c r="S30" s="18"/>
      <c r="T30" s="18"/>
      <c r="U30" s="18"/>
      <c r="V30" s="19"/>
    </row>
    <row r="31" spans="1:26" x14ac:dyDescent="0.3">
      <c r="A31" s="17"/>
      <c r="B31" s="18"/>
      <c r="C31" s="18"/>
      <c r="D31" s="18"/>
      <c r="E31" s="18"/>
      <c r="F31" s="18"/>
      <c r="G31" s="18"/>
      <c r="H31" s="18"/>
      <c r="I31" s="18"/>
      <c r="J31" s="18"/>
      <c r="K31" s="18"/>
      <c r="L31" s="18"/>
      <c r="M31" s="18"/>
      <c r="N31" s="18"/>
      <c r="O31" s="18"/>
      <c r="P31" s="18"/>
      <c r="Q31" s="18"/>
      <c r="R31" s="18"/>
      <c r="S31" s="18"/>
      <c r="T31" s="18"/>
      <c r="U31" s="18"/>
      <c r="V31" s="19"/>
    </row>
    <row r="32" spans="1:26" x14ac:dyDescent="0.3">
      <c r="A32" s="17"/>
      <c r="B32" s="18"/>
      <c r="C32" s="18"/>
      <c r="D32" s="18"/>
      <c r="E32" s="18"/>
      <c r="F32" s="18"/>
      <c r="G32" s="18"/>
      <c r="H32" s="18"/>
      <c r="I32" s="18"/>
      <c r="J32" s="18"/>
      <c r="K32" s="18"/>
      <c r="L32" s="18"/>
      <c r="M32" s="18"/>
      <c r="N32" s="18"/>
      <c r="O32" s="18"/>
      <c r="P32" s="18"/>
      <c r="Q32" s="18"/>
      <c r="R32" s="18"/>
      <c r="S32" s="18"/>
      <c r="T32" s="18"/>
      <c r="U32" s="18"/>
      <c r="V32" s="19"/>
    </row>
    <row r="33" spans="1:22" x14ac:dyDescent="0.3">
      <c r="A33" s="17"/>
      <c r="B33" s="18"/>
      <c r="C33" s="18"/>
      <c r="D33" s="18"/>
      <c r="E33" s="18"/>
      <c r="F33" s="18"/>
      <c r="G33" s="18"/>
      <c r="H33" s="18"/>
      <c r="I33" s="18"/>
      <c r="J33" s="18"/>
      <c r="K33" s="18"/>
      <c r="L33" s="18"/>
      <c r="M33" s="18"/>
      <c r="N33" s="18"/>
      <c r="O33" s="18"/>
      <c r="P33" s="18"/>
      <c r="Q33" s="18"/>
      <c r="R33" s="18"/>
      <c r="S33" s="18"/>
      <c r="T33" s="18"/>
      <c r="U33" s="18"/>
      <c r="V33" s="19"/>
    </row>
    <row r="34" spans="1:22" x14ac:dyDescent="0.3">
      <c r="A34" s="17"/>
      <c r="B34" s="18"/>
      <c r="C34" s="18"/>
      <c r="D34" s="18"/>
      <c r="E34" s="18"/>
      <c r="F34" s="18"/>
      <c r="G34" s="18"/>
      <c r="H34" s="18"/>
      <c r="I34" s="18"/>
      <c r="J34" s="18"/>
      <c r="K34" s="18"/>
      <c r="L34" s="18"/>
      <c r="M34" s="18"/>
      <c r="N34" s="18"/>
      <c r="O34" s="18"/>
      <c r="P34" s="18"/>
      <c r="Q34" s="18"/>
      <c r="R34" s="18"/>
      <c r="S34" s="18"/>
      <c r="T34" s="18"/>
      <c r="U34" s="18"/>
      <c r="V34" s="19"/>
    </row>
    <row r="35" spans="1:22" ht="15" thickBot="1" x14ac:dyDescent="0.35">
      <c r="A35" s="20"/>
      <c r="B35" s="21"/>
      <c r="C35" s="21"/>
      <c r="D35" s="21"/>
      <c r="E35" s="21"/>
      <c r="F35" s="21"/>
      <c r="G35" s="21"/>
      <c r="H35" s="21"/>
      <c r="I35" s="21"/>
      <c r="J35" s="21"/>
      <c r="K35" s="21"/>
      <c r="L35" s="21"/>
      <c r="M35" s="21"/>
      <c r="N35" s="21"/>
      <c r="O35" s="21"/>
      <c r="P35" s="21"/>
      <c r="Q35" s="21"/>
      <c r="R35" s="21"/>
      <c r="S35" s="21"/>
      <c r="T35" s="21"/>
      <c r="U35" s="21"/>
      <c r="V35"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Payment Method</vt:lpstr>
      <vt:lpstr>product revenu</vt:lpstr>
      <vt:lpstr>Revenue by Region</vt:lpstr>
      <vt:lpstr>Monthly revenue</vt:lpstr>
      <vt:lpstr>Quantity by category</vt:lpstr>
      <vt:lpstr>Sales sheet</vt:lpstr>
      <vt:lpstr>Summarized 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SUSMITHA B</dc:creator>
  <cp:lastModifiedBy>SUSMITHA B</cp:lastModifiedBy>
  <dcterms:created xsi:type="dcterms:W3CDTF">2026-08-14T05:11:20Z</dcterms:created>
  <dcterms:modified xsi:type="dcterms:W3CDTF">2026-08-16T13:10:14Z</dcterms:modified>
</cp:coreProperties>
</file>